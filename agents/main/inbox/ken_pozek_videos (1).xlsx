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3"/>
    <sheet name="Category Summary" sheetId="2" state="visible" r:id="rId4"/>
    <sheet name="Top 20 by Views" sheetId="3" state="visible" r:id="rId5"/>
    <sheet name="Strategy Evolution" sheetId="4" state="visible" r:id="rId6"/>
    <sheet name="Year 1 Playbook" sheetId="5" state="visible" r:id="rId7"/>
  </sheets>
  <definedNames>
    <definedName function="false" hidden="true" localSheetId="0" name="_xlnm._FilterDatabase" vbProcedure="false">Videos!$A$1:$G$271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<sst xmlns="http://schemas.openxmlformats.org/spreadsheetml/2006/main" count="1598" uniqueCount="681">
  <si>
    <t xml:space="preserve">#</t>
  </si>
  <si>
    <t xml:space="preserve">Title</t>
  </si>
  <si>
    <t xml:space="preserve">Category</t>
  </si>
  <si>
    <t xml:space="preserve">Views</t>
  </si>
  <si>
    <t xml:space="preserve">Views (numeric)</t>
  </si>
  <si>
    <t xml:space="preserve">Age</t>
  </si>
  <si>
    <t xml:space="preserve">Duration</t>
  </si>
  <si>
    <t xml:space="preserve">The MASSIVE Orlando projects and who's behind them</t>
  </si>
  <si>
    <t xml:space="preserve">New Construction/Development</t>
  </si>
  <si>
    <t xml:space="preserve">19K</t>
  </si>
  <si>
    <t xml:space="preserve">12 days ago</t>
  </si>
  <si>
    <t xml:space="preserve">7:56</t>
  </si>
  <si>
    <t xml:space="preserve">These 8 areas are driving Orlando's growth</t>
  </si>
  <si>
    <t xml:space="preserve">Neighborhood</t>
  </si>
  <si>
    <t xml:space="preserve">10K</t>
  </si>
  <si>
    <t xml:space="preserve">2 weeks ago</t>
  </si>
  <si>
    <t xml:space="preserve">7:34</t>
  </si>
  <si>
    <t xml:space="preserve">INSIDE a $9,500,000 Orlando Home. It's Actually Insane</t>
  </si>
  <si>
    <t xml:space="preserve">Luxury Home Tour</t>
  </si>
  <si>
    <t xml:space="preserve">12K</t>
  </si>
  <si>
    <t xml:space="preserve">1 month ago</t>
  </si>
  <si>
    <t xml:space="preserve">13:37</t>
  </si>
  <si>
    <t xml:space="preserve">Orlando Custom Home BOOM is happening in THIS Suburb!</t>
  </si>
  <si>
    <t xml:space="preserve">6.8K</t>
  </si>
  <si>
    <t xml:space="preserve">13:52</t>
  </si>
  <si>
    <t xml:space="preserve">Small Towns Near Orlando Everyone's Moving To Right Now</t>
  </si>
  <si>
    <t xml:space="preserve">72K</t>
  </si>
  <si>
    <t xml:space="preserve">11:24</t>
  </si>
  <si>
    <t xml:space="preserve">Winter Garden vs Winter Park - Orlando's Best Places to Live?</t>
  </si>
  <si>
    <t xml:space="preserve">Comparison</t>
  </si>
  <si>
    <t xml:space="preserve">17K</t>
  </si>
  <si>
    <t xml:space="preserve">2 months ago</t>
  </si>
  <si>
    <t xml:space="preserve">10:57</t>
  </si>
  <si>
    <t xml:space="preserve">Moving to Orlando for Disney? Here's Where People Buy</t>
  </si>
  <si>
    <t xml:space="preserve">Relocation</t>
  </si>
  <si>
    <t xml:space="preserve">52K</t>
  </si>
  <si>
    <t xml:space="preserve">3 months ago</t>
  </si>
  <si>
    <t xml:space="preserve">12:56</t>
  </si>
  <si>
    <t xml:space="preserve">Celebration Florida is Changing (2026 Update)</t>
  </si>
  <si>
    <t xml:space="preserve">27K</t>
  </si>
  <si>
    <t xml:space="preserve">10:49</t>
  </si>
  <si>
    <t xml:space="preserve">Orlando's Hottest Neighborhoods in 2026</t>
  </si>
  <si>
    <t xml:space="preserve">16:45</t>
  </si>
  <si>
    <t xml:space="preserve">Orlando's Hottest Suburb Just Added Five New Neighborhoods</t>
  </si>
  <si>
    <t xml:space="preserve">21K</t>
  </si>
  <si>
    <t xml:space="preserve">4 months ago</t>
  </si>
  <si>
    <t xml:space="preserve">25:01</t>
  </si>
  <si>
    <t xml:space="preserve">MAJOR Projects Shaping Orlando in 2026</t>
  </si>
  <si>
    <t xml:space="preserve">5 months ago</t>
  </si>
  <si>
    <t xml:space="preserve">10:38</t>
  </si>
  <si>
    <t xml:space="preserve">Orlando's Hidden Neighborhoods Everyone Should Know</t>
  </si>
  <si>
    <t xml:space="preserve">15K</t>
  </si>
  <si>
    <t xml:space="preserve">16:24</t>
  </si>
  <si>
    <t xml:space="preserve">Orlando's Top Luxury Neighborhood Expands</t>
  </si>
  <si>
    <t xml:space="preserve">7.1K</t>
  </si>
  <si>
    <t xml:space="preserve">6 months ago</t>
  </si>
  <si>
    <t xml:space="preserve">10:55</t>
  </si>
  <si>
    <t xml:space="preserve">Windermere, Florida - Orlando's hottest address? You decide!</t>
  </si>
  <si>
    <t xml:space="preserve">7 months ago</t>
  </si>
  <si>
    <t xml:space="preserve">12:05</t>
  </si>
  <si>
    <t xml:space="preserve">Horizon West and Wellness Way Update (2025)</t>
  </si>
  <si>
    <t xml:space="preserve">9K</t>
  </si>
  <si>
    <t xml:space="preserve">9:13</t>
  </si>
  <si>
    <t xml:space="preserve">Inside a $14,500,000 Home at Walt Disney World's Golden Oak</t>
  </si>
  <si>
    <t xml:space="preserve">35K</t>
  </si>
  <si>
    <t xml:space="preserve">8 months ago</t>
  </si>
  <si>
    <t xml:space="preserve">7:57</t>
  </si>
  <si>
    <t xml:space="preserve">Top 10 Questions About Living in Orlando</t>
  </si>
  <si>
    <t xml:space="preserve">8K</t>
  </si>
  <si>
    <t xml:space="preserve">9:12</t>
  </si>
  <si>
    <t xml:space="preserve">Orlando New Construction Process in 2025</t>
  </si>
  <si>
    <t xml:space="preserve">6.3K</t>
  </si>
  <si>
    <t xml:space="preserve">13:42</t>
  </si>
  <si>
    <t xml:space="preserve">Here's what $6M buys in Golden Oak vs Winter Park</t>
  </si>
  <si>
    <t xml:space="preserve">31K</t>
  </si>
  <si>
    <t xml:space="preserve">9 months ago</t>
  </si>
  <si>
    <t xml:space="preserve">11:34</t>
  </si>
  <si>
    <t xml:space="preserve">This Florida boom town is about to explode</t>
  </si>
  <si>
    <t xml:space="preserve">25K</t>
  </si>
  <si>
    <t xml:space="preserve">8:49</t>
  </si>
  <si>
    <t xml:space="preserve">Billions Invested into Orlando Area Roads</t>
  </si>
  <si>
    <t xml:space="preserve">Market/News</t>
  </si>
  <si>
    <t xml:space="preserve">26:22</t>
  </si>
  <si>
    <t xml:space="preserve">Orlando Before and After Walt Disney World</t>
  </si>
  <si>
    <t xml:space="preserve">Theme Park</t>
  </si>
  <si>
    <t xml:space="preserve">5.4K</t>
  </si>
  <si>
    <t xml:space="preserve">9:39</t>
  </si>
  <si>
    <t xml:space="preserve">These Projects Could Change Orlando's Future</t>
  </si>
  <si>
    <t xml:space="preserve">38K</t>
  </si>
  <si>
    <t xml:space="preserve">10 months ago</t>
  </si>
  <si>
    <t xml:space="preserve">7:20</t>
  </si>
  <si>
    <t xml:space="preserve">Here's What's Coming to Orlando in the Next 20 Years</t>
  </si>
  <si>
    <t xml:space="preserve">18K</t>
  </si>
  <si>
    <t xml:space="preserve">17:53</t>
  </si>
  <si>
    <t xml:space="preserve">5 Reasons Why Orlando Will Thrive Over The Next 10 Years</t>
  </si>
  <si>
    <t xml:space="preserve">24K</t>
  </si>
  <si>
    <t xml:space="preserve">11 months ago</t>
  </si>
  <si>
    <t xml:space="preserve">10:32</t>
  </si>
  <si>
    <t xml:space="preserve">Orlando Housing Crash? Here's the data.</t>
  </si>
  <si>
    <t xml:space="preserve">9:05</t>
  </si>
  <si>
    <t xml:space="preserve">Orlando Art, explained for newbies (with Jefrë)</t>
  </si>
  <si>
    <t xml:space="preserve">Lifestyle/Local</t>
  </si>
  <si>
    <t xml:space="preserve">1.6K</t>
  </si>
  <si>
    <t xml:space="preserve">39:35</t>
  </si>
  <si>
    <t xml:space="preserve">Inside Epic Universe's Grand Opening. Exclusive Interviews and More!</t>
  </si>
  <si>
    <t xml:space="preserve">3.9K</t>
  </si>
  <si>
    <t xml:space="preserve">18:58</t>
  </si>
  <si>
    <t xml:space="preserve">TOP Places to Own a Vacation Home in Orlando, Florida</t>
  </si>
  <si>
    <t xml:space="preserve">11K</t>
  </si>
  <si>
    <t xml:space="preserve">1 year ago</t>
  </si>
  <si>
    <t xml:space="preserve">10:00</t>
  </si>
  <si>
    <t xml:space="preserve">HUGE Discounts on Orlando Area New Homes</t>
  </si>
  <si>
    <t xml:space="preserve">29K</t>
  </si>
  <si>
    <t xml:space="preserve">15:05</t>
  </si>
  <si>
    <t xml:space="preserve">HUGE New Growth in Clermont Florida Shocked Me</t>
  </si>
  <si>
    <t xml:space="preserve">10:21</t>
  </si>
  <si>
    <t xml:space="preserve">MASSIVE Orlando Construction Projects That Will Change How You Live</t>
  </si>
  <si>
    <t xml:space="preserve">111K</t>
  </si>
  <si>
    <t xml:space="preserve">9:32</t>
  </si>
  <si>
    <t xml:space="preserve">What makes Seminole County, Florida special?</t>
  </si>
  <si>
    <t xml:space="preserve">8.9K</t>
  </si>
  <si>
    <t xml:space="preserve">13:41</t>
  </si>
  <si>
    <t xml:space="preserve">Winter Garden Homes: $400K to $2.25M | Which Would YOU Pick?</t>
  </si>
  <si>
    <t xml:space="preserve">28K</t>
  </si>
  <si>
    <t xml:space="preserve">10 Realities of Living in Orlando Florida</t>
  </si>
  <si>
    <t xml:space="preserve">81K</t>
  </si>
  <si>
    <t xml:space="preserve">Living in Celebration Florida vs Other Orlando Communities</t>
  </si>
  <si>
    <t xml:space="preserve">9:41</t>
  </si>
  <si>
    <t xml:space="preserve">Living in Windermere, Florida (they told me to live here)</t>
  </si>
  <si>
    <t xml:space="preserve">7:22</t>
  </si>
  <si>
    <t xml:space="preserve">Orlando's development: An Architect's Take on Our Future</t>
  </si>
  <si>
    <t xml:space="preserve">6.1K</t>
  </si>
  <si>
    <t xml:space="preserve">56:00</t>
  </si>
  <si>
    <t xml:space="preserve">Inside a home near Disney World listed at $8,250,000</t>
  </si>
  <si>
    <t xml:space="preserve">6:32</t>
  </si>
  <si>
    <t xml:space="preserve">St. Cloud Florida area MASSIVE developments on the way</t>
  </si>
  <si>
    <t xml:space="preserve">22K</t>
  </si>
  <si>
    <t xml:space="preserve">8:10</t>
  </si>
  <si>
    <t xml:space="preserve">Tour This $6.7M Golden Oak Disney Property</t>
  </si>
  <si>
    <t xml:space="preserve">39K</t>
  </si>
  <si>
    <t xml:space="preserve">6:58</t>
  </si>
  <si>
    <t xml:space="preserve">Here's where Orlando is headed</t>
  </si>
  <si>
    <t xml:space="preserve">59K</t>
  </si>
  <si>
    <t xml:space="preserve">12:59</t>
  </si>
  <si>
    <t xml:space="preserve">This Modern Golden Oak Home Has a Hidden Casita</t>
  </si>
  <si>
    <t xml:space="preserve">Sunbridge Florida Like You've Never Seen Before: Exclusive Look</t>
  </si>
  <si>
    <t xml:space="preserve">10:59</t>
  </si>
  <si>
    <t xml:space="preserve">2025 Predictions for Orlando Real Estate</t>
  </si>
  <si>
    <t xml:space="preserve">6:08</t>
  </si>
  <si>
    <t xml:space="preserve">INSIDE a CASTLE outside Orlando Florida</t>
  </si>
  <si>
    <t xml:space="preserve">14:50</t>
  </si>
  <si>
    <t xml:space="preserve">Inside a $15,850,000 Home at Walt Disney World's Golden Oak</t>
  </si>
  <si>
    <t xml:space="preserve">100K</t>
  </si>
  <si>
    <t xml:space="preserve">12:18</t>
  </si>
  <si>
    <t xml:space="preserve">Exclusive: Inside Orlando's Biggest Developer Shaping the City</t>
  </si>
  <si>
    <t xml:space="preserve">44:36</t>
  </si>
  <si>
    <t xml:space="preserve">Orlando Locals Spill the Truth About Living Here</t>
  </si>
  <si>
    <t xml:space="preserve">110K</t>
  </si>
  <si>
    <t xml:space="preserve">10:43</t>
  </si>
  <si>
    <t xml:space="preserve">Big Changes Coming to Orlando Florida</t>
  </si>
  <si>
    <t xml:space="preserve">69K</t>
  </si>
  <si>
    <t xml:space="preserve">10:14</t>
  </si>
  <si>
    <t xml:space="preserve">How Horizon West Has Changed (and what's coming to Winter Garden)</t>
  </si>
  <si>
    <t xml:space="preserve">26K</t>
  </si>
  <si>
    <t xml:space="preserve">14:37</t>
  </si>
  <si>
    <t xml:space="preserve">Orlando's Most Exclusive Neighborhood Tour</t>
  </si>
  <si>
    <t xml:space="preserve">77K</t>
  </si>
  <si>
    <t xml:space="preserve">19:27</t>
  </si>
  <si>
    <t xml:space="preserve">Winter Park, Florida and the Custom Home Process</t>
  </si>
  <si>
    <t xml:space="preserve">8.2K</t>
  </si>
  <si>
    <t xml:space="preserve">10:27</t>
  </si>
  <si>
    <t xml:space="preserve">Apopka, Florida is about to BOOM (here's why)</t>
  </si>
  <si>
    <t xml:space="preserve">32K</t>
  </si>
  <si>
    <t xml:space="preserve">8:53</t>
  </si>
  <si>
    <t xml:space="preserve">Groveland Custom Home Tour and a Clermont Update!</t>
  </si>
  <si>
    <t xml:space="preserve">20K</t>
  </si>
  <si>
    <t xml:space="preserve">12:58</t>
  </si>
  <si>
    <t xml:space="preserve">THIS Area is the Best Place to Live for Theme Park fans</t>
  </si>
  <si>
    <t xml:space="preserve">34K</t>
  </si>
  <si>
    <t xml:space="preserve">9:54</t>
  </si>
  <si>
    <t xml:space="preserve">Walkable Orlando Neighborhoods: Top Places to Live</t>
  </si>
  <si>
    <t xml:space="preserve">45K</t>
  </si>
  <si>
    <t xml:space="preserve">8:08</t>
  </si>
  <si>
    <t xml:space="preserve">3 Lesser Known Orlando Suburbs You'll Love</t>
  </si>
  <si>
    <t xml:space="preserve">17:20</t>
  </si>
  <si>
    <t xml:space="preserve">Is Dr. Phillips the Best Place to Live in Orlando?</t>
  </si>
  <si>
    <t xml:space="preserve">2 years ago</t>
  </si>
  <si>
    <t xml:space="preserve">11:15</t>
  </si>
  <si>
    <t xml:space="preserve">INSIDE a $7.25M Home for Sale in Walt Disney World's Golden Oak Neighborhood</t>
  </si>
  <si>
    <t xml:space="preserve">50K</t>
  </si>
  <si>
    <t xml:space="preserve">10:20</t>
  </si>
  <si>
    <t xml:space="preserve">Inside Walt Disney's Newest Golden Oak Home</t>
  </si>
  <si>
    <t xml:space="preserve">198K</t>
  </si>
  <si>
    <t xml:space="preserve">15:42</t>
  </si>
  <si>
    <t xml:space="preserve">Lake Nona: Orlando's Living Lab</t>
  </si>
  <si>
    <t xml:space="preserve">20:29</t>
  </si>
  <si>
    <t xml:space="preserve">Living in St. Cloud, Florida: Fastest Growing Area?</t>
  </si>
  <si>
    <t xml:space="preserve">30K</t>
  </si>
  <si>
    <t xml:space="preserve">9:49</t>
  </si>
  <si>
    <t xml:space="preserve">Lessons Learned in Flipping a Home in Orlando</t>
  </si>
  <si>
    <t xml:space="preserve">Other</t>
  </si>
  <si>
    <t xml:space="preserve">11:56</t>
  </si>
  <si>
    <t xml:space="preserve">Winter Park Florida: Ultimate Guide to Homes and Hidden Gems!</t>
  </si>
  <si>
    <t xml:space="preserve">53K</t>
  </si>
  <si>
    <t xml:space="preserve">12:44</t>
  </si>
  <si>
    <t xml:space="preserve">How Far Does $1,000,000 Go in Orlando?</t>
  </si>
  <si>
    <t xml:space="preserve">16K</t>
  </si>
  <si>
    <t xml:space="preserve">13:32</t>
  </si>
  <si>
    <t xml:space="preserve">Clermont vs Winter Garden Florida. Which area is best?</t>
  </si>
  <si>
    <t xml:space="preserve">42K</t>
  </si>
  <si>
    <t xml:space="preserve">14:58</t>
  </si>
  <si>
    <t xml:space="preserve">Retiring in Orlando: The Ultimate Guide</t>
  </si>
  <si>
    <t xml:space="preserve">19:05</t>
  </si>
  <si>
    <t xml:space="preserve">Florida is CLOSED. Don't move here</t>
  </si>
  <si>
    <t xml:space="preserve">16:34</t>
  </si>
  <si>
    <t xml:space="preserve">Living in Orlando. The Ultimate Guide to making the move</t>
  </si>
  <si>
    <t xml:space="preserve">64K</t>
  </si>
  <si>
    <t xml:space="preserve">17:11</t>
  </si>
  <si>
    <t xml:space="preserve">Your Guide to Celebration Florida: The Town Disney Built</t>
  </si>
  <si>
    <t xml:space="preserve">101K</t>
  </si>
  <si>
    <t xml:space="preserve">17:23</t>
  </si>
  <si>
    <t xml:space="preserve">The $4,550,000 Way to Live at Disney World - Golden Oak Home For Sale</t>
  </si>
  <si>
    <t xml:space="preserve">169K</t>
  </si>
  <si>
    <t xml:space="preserve">11:12</t>
  </si>
  <si>
    <t xml:space="preserve">Tips on Owning an Second Home in Orlando</t>
  </si>
  <si>
    <t xml:space="preserve">15:51</t>
  </si>
  <si>
    <t xml:space="preserve">Top places to live in America? Hunters Creek, Orlando, Florida</t>
  </si>
  <si>
    <t xml:space="preserve">10:25</t>
  </si>
  <si>
    <t xml:space="preserve">Johnny Damon lists $30M Orlando home. New Law Would Out Wall Street from Real Estate.</t>
  </si>
  <si>
    <t xml:space="preserve">4.6K</t>
  </si>
  <si>
    <t xml:space="preserve">4:53</t>
  </si>
  <si>
    <t xml:space="preserve">15 Reasons Why I Love Living in Orlando</t>
  </si>
  <si>
    <t xml:space="preserve">49K</t>
  </si>
  <si>
    <t xml:space="preserve">11:58</t>
  </si>
  <si>
    <t xml:space="preserve">Orlando Sales Fall, Disney's $40B impact, and the LARGEST listing</t>
  </si>
  <si>
    <t xml:space="preserve">8:42</t>
  </si>
  <si>
    <t xml:space="preserve">Sending human remains to space</t>
  </si>
  <si>
    <t xml:space="preserve">3.1K</t>
  </si>
  <si>
    <t xml:space="preserve">6:44</t>
  </si>
  <si>
    <t xml:space="preserve">Jeff Bezos Florida man, huge Orlando travel news, Universal affordable housing on Orlando Real Recap</t>
  </si>
  <si>
    <t xml:space="preserve">8.4K</t>
  </si>
  <si>
    <t xml:space="preserve">4:40</t>
  </si>
  <si>
    <t xml:space="preserve">$200k vs $2,000,000 in Orlando Florida</t>
  </si>
  <si>
    <t xml:space="preserve">9:46</t>
  </si>
  <si>
    <t xml:space="preserve">THIS area in Orlando has promise</t>
  </si>
  <si>
    <t xml:space="preserve">18:23</t>
  </si>
  <si>
    <t xml:space="preserve">A Look Inside Amazon Orlando, plus a look into local jobs</t>
  </si>
  <si>
    <t xml:space="preserve">9:57</t>
  </si>
  <si>
    <t xml:space="preserve">Fireworks from your house? TOP Orlando must haves</t>
  </si>
  <si>
    <t xml:space="preserve">4:54</t>
  </si>
  <si>
    <t xml:space="preserve">Downtown Orlando might be different than you think</t>
  </si>
  <si>
    <t xml:space="preserve">14:02</t>
  </si>
  <si>
    <t xml:space="preserve">They made a mistake when moving to Orlando. Tips on choosing the right area</t>
  </si>
  <si>
    <t xml:space="preserve">5:53</t>
  </si>
  <si>
    <t xml:space="preserve">Lake Living in Greater Orlando!</t>
  </si>
  <si>
    <t xml:space="preserve">11:04</t>
  </si>
  <si>
    <t xml:space="preserve">New Construction in Orlando - Is It the Only Option?</t>
  </si>
  <si>
    <t xml:space="preserve">8:35</t>
  </si>
  <si>
    <t xml:space="preserve">Winter Garden - My fav neighborhood, small businesses, and more!</t>
  </si>
  <si>
    <t xml:space="preserve">6:59</t>
  </si>
  <si>
    <t xml:space="preserve">Inside an Orlando Home Transformation</t>
  </si>
  <si>
    <t xml:space="preserve">7.5K</t>
  </si>
  <si>
    <t xml:space="preserve">14:08</t>
  </si>
  <si>
    <t xml:space="preserve">This small community outside Orlando is incredible</t>
  </si>
  <si>
    <t xml:space="preserve">7:46</t>
  </si>
  <si>
    <t xml:space="preserve">Windermere Florida Tour | Best Place To Live In Orlando?</t>
  </si>
  <si>
    <t xml:space="preserve">33K</t>
  </si>
  <si>
    <t xml:space="preserve">9:35</t>
  </si>
  <si>
    <t xml:space="preserve">Hidden Gems of Orlando | Places No One Talks About Living...</t>
  </si>
  <si>
    <t xml:space="preserve">6:35</t>
  </si>
  <si>
    <t xml:space="preserve">Why are people STILL moving to Orlando in 2023?!</t>
  </si>
  <si>
    <t xml:space="preserve">6:13</t>
  </si>
  <si>
    <t xml:space="preserve">Highest Rated Neighborhoods in Orlando ** According to Locals</t>
  </si>
  <si>
    <t xml:space="preserve">8:16</t>
  </si>
  <si>
    <t xml:space="preserve">THESE are the most sought after Lake Nona Gated Communities</t>
  </si>
  <si>
    <t xml:space="preserve">8:02</t>
  </si>
  <si>
    <t xml:space="preserve">Where Do Orlando's Wealthy Choose to Live?!</t>
  </si>
  <si>
    <t xml:space="preserve">57K</t>
  </si>
  <si>
    <t xml:space="preserve">6:51</t>
  </si>
  <si>
    <t xml:space="preserve">Orlando's 192 Area Redevelopment</t>
  </si>
  <si>
    <t xml:space="preserve">23K</t>
  </si>
  <si>
    <t xml:space="preserve">8:22</t>
  </si>
  <si>
    <t xml:space="preserve">Orlando Areas Heating Up and Cooling Off</t>
  </si>
  <si>
    <t xml:space="preserve">13K</t>
  </si>
  <si>
    <t xml:space="preserve">6:15</t>
  </si>
  <si>
    <t xml:space="preserve">Full Sunbridge Florida Update!</t>
  </si>
  <si>
    <t xml:space="preserve">Did I Buy A Money Pit In Orlando?</t>
  </si>
  <si>
    <t xml:space="preserve">14K</t>
  </si>
  <si>
    <t xml:space="preserve">Coming Soon to Orlando's iDrive and Surrounding Area</t>
  </si>
  <si>
    <t xml:space="preserve">8:15</t>
  </si>
  <si>
    <t xml:space="preserve">Orlando Mansion with themed Avengers, Spider-Man, and Princess rooms!</t>
  </si>
  <si>
    <t xml:space="preserve">3 years ago</t>
  </si>
  <si>
    <t xml:space="preserve">9:50</t>
  </si>
  <si>
    <t xml:space="preserve">What's exciting for the Lake Nona area</t>
  </si>
  <si>
    <t xml:space="preserve">The Man Behind Orlando's Largest Developments</t>
  </si>
  <si>
    <t xml:space="preserve">21:05</t>
  </si>
  <si>
    <t xml:space="preserve">Orlando Plans CHANGED but These Projects Move Forward</t>
  </si>
  <si>
    <t xml:space="preserve">5:48</t>
  </si>
  <si>
    <t xml:space="preserve">A NEW look at Horizon West | Winter Garden, Florida</t>
  </si>
  <si>
    <t xml:space="preserve">6:23</t>
  </si>
  <si>
    <t xml:space="preserve">Guess the Price of These Orlando Homes! New Area Spotlight</t>
  </si>
  <si>
    <t xml:space="preserve">Orlando Real Estate Market: Defying National Trends &amp; Thriving Amid Rising Interest Rates</t>
  </si>
  <si>
    <t xml:space="preserve">9.9K</t>
  </si>
  <si>
    <t xml:space="preserve">6:28</t>
  </si>
  <si>
    <t xml:space="preserve">They'd want to change THIS about living in Orlando</t>
  </si>
  <si>
    <t xml:space="preserve">6:12</t>
  </si>
  <si>
    <t xml:space="preserve">All New Packing District in Orlando, Florida</t>
  </si>
  <si>
    <t xml:space="preserve">7.9K</t>
  </si>
  <si>
    <t xml:space="preserve">7:03</t>
  </si>
  <si>
    <t xml:space="preserve">Living in East Orlando vs. West Orlando</t>
  </si>
  <si>
    <t xml:space="preserve">5:40</t>
  </si>
  <si>
    <t xml:space="preserve">Orlando's Mayor sees us going here!</t>
  </si>
  <si>
    <t xml:space="preserve">9:29</t>
  </si>
  <si>
    <t xml:space="preserve">Disney's Golden Oak like you've never seen!</t>
  </si>
  <si>
    <t xml:space="preserve">7:04</t>
  </si>
  <si>
    <t xml:space="preserve">Orlando's Creative Village Creates Jobs</t>
  </si>
  <si>
    <t xml:space="preserve">5.9K</t>
  </si>
  <si>
    <t xml:space="preserve">4:27</t>
  </si>
  <si>
    <t xml:space="preserve">Minneola is the Orlando area City You've Never Heard Of (why it's growing)</t>
  </si>
  <si>
    <t xml:space="preserve">4:49</t>
  </si>
  <si>
    <t xml:space="preserve">Clermont Florida is going to BOOM (here's why)</t>
  </si>
  <si>
    <t xml:space="preserve">5:49</t>
  </si>
  <si>
    <t xml:space="preserve">You Won't Believe What's Inside This Orlando Luxury Home</t>
  </si>
  <si>
    <t xml:space="preserve">10:45</t>
  </si>
  <si>
    <t xml:space="preserve">Can Downtown Orlando Change for the Better?</t>
  </si>
  <si>
    <t xml:space="preserve">5.3K</t>
  </si>
  <si>
    <t xml:space="preserve">5:12</t>
  </si>
  <si>
    <t xml:space="preserve">Uncover Orlando Neighborhoods - Guess the Price!</t>
  </si>
  <si>
    <t xml:space="preserve">9:17</t>
  </si>
  <si>
    <t xml:space="preserve">Orlando Builder Changes and Opportunities</t>
  </si>
  <si>
    <t xml:space="preserve">6:55</t>
  </si>
  <si>
    <t xml:space="preserve">Orlando's 2023 Predictions</t>
  </si>
  <si>
    <t xml:space="preserve">6:33</t>
  </si>
  <si>
    <t xml:space="preserve">These Four Orlando Neighborhoods are Changing the Area</t>
  </si>
  <si>
    <t xml:space="preserve">5:47</t>
  </si>
  <si>
    <t xml:space="preserve">Disney Adults Living in Orlando</t>
  </si>
  <si>
    <t xml:space="preserve">8:03</t>
  </si>
  <si>
    <t xml:space="preserve">Living in Orlando vs. Tampa</t>
  </si>
  <si>
    <t xml:space="preserve">Inside TWO Celebration Florida Homes (and a Weird Update)</t>
  </si>
  <si>
    <t xml:space="preserve">7:48</t>
  </si>
  <si>
    <t xml:space="preserve">4 Amazing Orlando Airbnb Neighborhoods You Need to Know About</t>
  </si>
  <si>
    <t xml:space="preserve">55K</t>
  </si>
  <si>
    <t xml:space="preserve">7:30</t>
  </si>
  <si>
    <t xml:space="preserve">Is getting solar worth it in Florida?</t>
  </si>
  <si>
    <t xml:space="preserve">6.9K</t>
  </si>
  <si>
    <t xml:space="preserve">10:17</t>
  </si>
  <si>
    <t xml:space="preserve">How Orlando Became A College Town</t>
  </si>
  <si>
    <t xml:space="preserve">8:32</t>
  </si>
  <si>
    <t xml:space="preserve">How do Orlando home prices compare?</t>
  </si>
  <si>
    <t xml:space="preserve">UNIVERSAL IS WINNING theme park wars</t>
  </si>
  <si>
    <t xml:space="preserve">Orlando area residents will be affected</t>
  </si>
  <si>
    <t xml:space="preserve">10:15</t>
  </si>
  <si>
    <t xml:space="preserve">What they wish they knew before moving to Orlando</t>
  </si>
  <si>
    <t xml:space="preserve">Lake Nona Neighborhoods explained</t>
  </si>
  <si>
    <t xml:space="preserve">8:44</t>
  </si>
  <si>
    <t xml:space="preserve">Orlando Home Buyers Disappear?!</t>
  </si>
  <si>
    <t xml:space="preserve">9:25</t>
  </si>
  <si>
    <t xml:space="preserve">"Cool" Neighborhoods in Orlando</t>
  </si>
  <si>
    <t xml:space="preserve">9:24</t>
  </si>
  <si>
    <t xml:space="preserve">Coming Soon to Orlando: Sports Betting and Jobs Numbers</t>
  </si>
  <si>
    <t xml:space="preserve">5.7K</t>
  </si>
  <si>
    <t xml:space="preserve">Orlando Facts You Didn't Know!</t>
  </si>
  <si>
    <t xml:space="preserve">12:22</t>
  </si>
  <si>
    <t xml:space="preserve">Orlando's walkable neighborhoods</t>
  </si>
  <si>
    <t xml:space="preserve">8:09</t>
  </si>
  <si>
    <t xml:space="preserve">Was Celebration Florida a Success?</t>
  </si>
  <si>
    <t xml:space="preserve">8.1K</t>
  </si>
  <si>
    <t xml:space="preserve">9:31</t>
  </si>
  <si>
    <t xml:space="preserve">Home Tour + 5 New Horizon West Neighborhoods</t>
  </si>
  <si>
    <t xml:space="preserve">10:18</t>
  </si>
  <si>
    <t xml:space="preserve">Is Orlando Affordable Anymore?</t>
  </si>
  <si>
    <t xml:space="preserve">8:50</t>
  </si>
  <si>
    <t xml:space="preserve">Luxury Celebration Home + Island Village Updates!</t>
  </si>
  <si>
    <t xml:space="preserve">8.3K</t>
  </si>
  <si>
    <t xml:space="preserve">7:53</t>
  </si>
  <si>
    <t xml:space="preserve">Projects Coming to Orlando 2022</t>
  </si>
  <si>
    <t xml:space="preserve">Coming to Orlando: Space Tourism, Real Estate Update, and Rent Control</t>
  </si>
  <si>
    <t xml:space="preserve">8:41</t>
  </si>
  <si>
    <t xml:space="preserve">Moving to Orlando | 8 things youll want to know</t>
  </si>
  <si>
    <t xml:space="preserve">83K</t>
  </si>
  <si>
    <t xml:space="preserve">6:04</t>
  </si>
  <si>
    <t xml:space="preserve">Avalon Park | Orlando's best community?</t>
  </si>
  <si>
    <t xml:space="preserve">What $1M in Orlando used to buy</t>
  </si>
  <si>
    <t xml:space="preserve">4 years ago</t>
  </si>
  <si>
    <t xml:space="preserve">5:29</t>
  </si>
  <si>
    <t xml:space="preserve">Coming Soon to Orlando: Celebration, Sea World, Wellness Way</t>
  </si>
  <si>
    <t xml:space="preserve">Winter Garden Florida | Orlando's Fastest Growing Suburb</t>
  </si>
  <si>
    <t xml:space="preserve">47K</t>
  </si>
  <si>
    <t xml:space="preserve">11:37</t>
  </si>
  <si>
    <t xml:space="preserve">Coming to Orlando: New Orange County Tax, Builders Expand, and more!</t>
  </si>
  <si>
    <t xml:space="preserve">7:15</t>
  </si>
  <si>
    <t xml:space="preserve">What Disney Losing Reedy Creek Means For Orlando Homeowners</t>
  </si>
  <si>
    <t xml:space="preserve">46K</t>
  </si>
  <si>
    <t xml:space="preserve">10:11</t>
  </si>
  <si>
    <t xml:space="preserve">Coming to Orlando | Thousands of New Homes, Blue Origin, and more!</t>
  </si>
  <si>
    <t xml:space="preserve">9:45</t>
  </si>
  <si>
    <t xml:space="preserve">New Home Process in Orlando Florida | 2022</t>
  </si>
  <si>
    <t xml:space="preserve">11:19</t>
  </si>
  <si>
    <t xml:space="preserve">Orlando Home Builders Ranked</t>
  </si>
  <si>
    <t xml:space="preserve">Living in Saint Cloud Florida | Plus a Sunbridge Update</t>
  </si>
  <si>
    <t xml:space="preserve">6:53</t>
  </si>
  <si>
    <t xml:space="preserve">Orlando Inflation and Interest Rates</t>
  </si>
  <si>
    <t xml:space="preserve">6.2K</t>
  </si>
  <si>
    <t xml:space="preserve">9:08</t>
  </si>
  <si>
    <t xml:space="preserve">Coming soon to Orlando | Space Mountain, 1k New Homes, Mandalorian Tech?</t>
  </si>
  <si>
    <t xml:space="preserve">6K</t>
  </si>
  <si>
    <t xml:space="preserve">Living in Lake Mary Florida</t>
  </si>
  <si>
    <t xml:space="preserve">Coming to Orlando | Disney's Surge, Smart Apartments, and So Much Coffee!</t>
  </si>
  <si>
    <t xml:space="preserve">8:07</t>
  </si>
  <si>
    <t xml:space="preserve">Orlando: Outside the Theme Parks</t>
  </si>
  <si>
    <t xml:space="preserve">6:19</t>
  </si>
  <si>
    <t xml:space="preserve">3 Affordable vs Luxury Orlando Neighborhoods Ranked!</t>
  </si>
  <si>
    <t xml:space="preserve">Building a Custom Home in Orlando</t>
  </si>
  <si>
    <t xml:space="preserve">12:08</t>
  </si>
  <si>
    <t xml:space="preserve">Sunbridge Florida Preview</t>
  </si>
  <si>
    <t xml:space="preserve">14:05</t>
  </si>
  <si>
    <t xml:space="preserve">Things To Do In Orlando Besides Disney</t>
  </si>
  <si>
    <t xml:space="preserve">Orlando Real Estate Market Review</t>
  </si>
  <si>
    <t xml:space="preserve">3.3K</t>
  </si>
  <si>
    <t xml:space="preserve">5:16</t>
  </si>
  <si>
    <t xml:space="preserve">Orlando Housing Predictions for 2022</t>
  </si>
  <si>
    <t xml:space="preserve">Huge Travel Numbers and a Tech Hub? Coming to Orlando</t>
  </si>
  <si>
    <t xml:space="preserve">6.4K</t>
  </si>
  <si>
    <t xml:space="preserve">7:50</t>
  </si>
  <si>
    <t xml:space="preserve">Coming to Orlando | Housing Market Dips, a Million Lights, and more!</t>
  </si>
  <si>
    <t xml:space="preserve">Orlando Older Homes</t>
  </si>
  <si>
    <t xml:space="preserve">5.5K</t>
  </si>
  <si>
    <t xml:space="preserve">8:06</t>
  </si>
  <si>
    <t xml:space="preserve">Coming to Orlando | Zillow Causes a Crash, Florida ID, and Disney NFT</t>
  </si>
  <si>
    <t xml:space="preserve">7:45</t>
  </si>
  <si>
    <t xml:space="preserve">Coming to Orlando | Massive Development, Michelin &amp; More</t>
  </si>
  <si>
    <t xml:space="preserve">6.5K</t>
  </si>
  <si>
    <t xml:space="preserve">Living in Apopka</t>
  </si>
  <si>
    <t xml:space="preserve">6:31</t>
  </si>
  <si>
    <t xml:space="preserve">Clermont, Wellness Way, and the Olympus Project</t>
  </si>
  <si>
    <t xml:space="preserve">7:59</t>
  </si>
  <si>
    <t xml:space="preserve">Investing In Orlando</t>
  </si>
  <si>
    <t xml:space="preserve">9.2K</t>
  </si>
  <si>
    <t xml:space="preserve">10:36</t>
  </si>
  <si>
    <t xml:space="preserve">Horizon West | New Community Update</t>
  </si>
  <si>
    <t xml:space="preserve">8:00</t>
  </si>
  <si>
    <t xml:space="preserve">Lake Nona's Newest Amenity | The Wave Hotel</t>
  </si>
  <si>
    <t xml:space="preserve">17:02</t>
  </si>
  <si>
    <t xml:space="preserve">Orlando in 2030</t>
  </si>
  <si>
    <t xml:space="preserve">11:01</t>
  </si>
  <si>
    <t xml:space="preserve">Top Orlando Home Sales</t>
  </si>
  <si>
    <t xml:space="preserve">6:40</t>
  </si>
  <si>
    <t xml:space="preserve">Kissimmee, Florida | Top Place People Are Moving?</t>
  </si>
  <si>
    <t xml:space="preserve">56K</t>
  </si>
  <si>
    <t xml:space="preserve">Billions spent in Orlando, Florida</t>
  </si>
  <si>
    <t xml:space="preserve">7:40</t>
  </si>
  <si>
    <t xml:space="preserve">Horizon West Winter Garden Update</t>
  </si>
  <si>
    <t xml:space="preserve">Coming To Orlando in 2021 and beyond</t>
  </si>
  <si>
    <t xml:space="preserve">7:51</t>
  </si>
  <si>
    <t xml:space="preserve">Orlando's Growth - Old Becomes New</t>
  </si>
  <si>
    <t xml:space="preserve">7:27</t>
  </si>
  <si>
    <t xml:space="preserve">Coming to Orlando in 2022</t>
  </si>
  <si>
    <t xml:space="preserve">5:41</t>
  </si>
  <si>
    <t xml:space="preserve">Homes Near Lake Nona</t>
  </si>
  <si>
    <t xml:space="preserve">9.6K</t>
  </si>
  <si>
    <t xml:space="preserve">Myths About Living in Orlando</t>
  </si>
  <si>
    <t xml:space="preserve">8:36</t>
  </si>
  <si>
    <t xml:space="preserve">The Orlando Real - Theme Parks, Real Estate, Living in Orlando</t>
  </si>
  <si>
    <t xml:space="preserve">3K</t>
  </si>
  <si>
    <t xml:space="preserve">2:02</t>
  </si>
  <si>
    <t xml:space="preserve">Moving to Oviedo Florida</t>
  </si>
  <si>
    <t xml:space="preserve">8:12</t>
  </si>
  <si>
    <t xml:space="preserve">Orlando Versus Miami Mansion Tour</t>
  </si>
  <si>
    <t xml:space="preserve">3.5K</t>
  </si>
  <si>
    <t xml:space="preserve">7:26</t>
  </si>
  <si>
    <t xml:space="preserve">Inside a $6,995,000 Winter Park Mansion</t>
  </si>
  <si>
    <t xml:space="preserve">7:39</t>
  </si>
  <si>
    <t xml:space="preserve">Mount Dora Florida Street Interviews!</t>
  </si>
  <si>
    <t xml:space="preserve">11:27</t>
  </si>
  <si>
    <t xml:space="preserve">Inside a $6,000,000 Orlando Vacation Home</t>
  </si>
  <si>
    <t xml:space="preserve">9.1K</t>
  </si>
  <si>
    <t xml:space="preserve">9:06</t>
  </si>
  <si>
    <t xml:space="preserve">Candid Comments and Coffee with Ken Pozek</t>
  </si>
  <si>
    <t xml:space="preserve">2.3K</t>
  </si>
  <si>
    <t xml:space="preserve">5:42</t>
  </si>
  <si>
    <t xml:space="preserve">Tips On Buying A Second Home In Orlando</t>
  </si>
  <si>
    <t xml:space="preserve">51K</t>
  </si>
  <si>
    <t xml:space="preserve">14:53</t>
  </si>
  <si>
    <t xml:space="preserve">What 500k Buys in Orlando Florida (18 months later)</t>
  </si>
  <si>
    <t xml:space="preserve">8.8K</t>
  </si>
  <si>
    <t xml:space="preserve">Disney's Golden Oak Neighborhood</t>
  </si>
  <si>
    <t xml:space="preserve">143K</t>
  </si>
  <si>
    <t xml:space="preserve">13:11</t>
  </si>
  <si>
    <t xml:space="preserve">The Future of Celebration Florida</t>
  </si>
  <si>
    <t xml:space="preserve">8:14</t>
  </si>
  <si>
    <t xml:space="preserve">Moving To Florida [During a Pandemic]</t>
  </si>
  <si>
    <t xml:space="preserve">2.9K</t>
  </si>
  <si>
    <t xml:space="preserve">16:17</t>
  </si>
  <si>
    <t xml:space="preserve">Lake Nona's New Disney Campus (and so much more)</t>
  </si>
  <si>
    <t xml:space="preserve">Is Celebration Florida A Good Place to Live?</t>
  </si>
  <si>
    <t xml:space="preserve">10:09</t>
  </si>
  <si>
    <t xml:space="preserve">Florida Home Inspections</t>
  </si>
  <si>
    <t xml:space="preserve">Orlando Home Prices [Can You Afford It?]</t>
  </si>
  <si>
    <t xml:space="preserve">12:16</t>
  </si>
  <si>
    <t xml:space="preserve">Creating Disney Magic w/ Lee Cockerell</t>
  </si>
  <si>
    <t xml:space="preserve">4.2K</t>
  </si>
  <si>
    <t xml:space="preserve">46:42</t>
  </si>
  <si>
    <t xml:space="preserve">Best Tacos in Orlando Florida</t>
  </si>
  <si>
    <t xml:space="preserve">7.4K</t>
  </si>
  <si>
    <t xml:space="preserve">Downtown Orlando Night time paddle boarding</t>
  </si>
  <si>
    <t xml:space="preserve">5:57</t>
  </si>
  <si>
    <t xml:space="preserve">Moving to Florida - Things I Wish I Knew Before Moving Here</t>
  </si>
  <si>
    <t xml:space="preserve">90K</t>
  </si>
  <si>
    <t xml:space="preserve">6:52</t>
  </si>
  <si>
    <t xml:space="preserve">Living in Maitland Florida [Best Orlando Suburb]</t>
  </si>
  <si>
    <t xml:space="preserve">Lake Nona Orlando Florida - Man on the Street Interviews!</t>
  </si>
  <si>
    <t xml:space="preserve">10:01</t>
  </si>
  <si>
    <t xml:space="preserve">Most Affordable Places to Live In Orlando, Florida</t>
  </si>
  <si>
    <t xml:space="preserve">8:24</t>
  </si>
  <si>
    <t xml:space="preserve">Winter Park, Florida - On the Street!</t>
  </si>
  <si>
    <t xml:space="preserve">10:37</t>
  </si>
  <si>
    <t xml:space="preserve">Investment Home in Orlando</t>
  </si>
  <si>
    <t xml:space="preserve">7.2K</t>
  </si>
  <si>
    <t xml:space="preserve">8:43</t>
  </si>
  <si>
    <t xml:space="preserve">How Disney Creates Magic - Louie Gravance (former Disney Institute)</t>
  </si>
  <si>
    <t xml:space="preserve">34:24</t>
  </si>
  <si>
    <t xml:space="preserve">Winter Garden, Florida - On the Street!</t>
  </si>
  <si>
    <t xml:space="preserve">5 years ago</t>
  </si>
  <si>
    <t xml:space="preserve">Orlando Lake Living - Boat and house tour</t>
  </si>
  <si>
    <t xml:space="preserve">5K</t>
  </si>
  <si>
    <t xml:space="preserve">Orlando Florida - Man on the Street Interviews</t>
  </si>
  <si>
    <t xml:space="preserve">Guide to Orlando - Ken Pozek</t>
  </si>
  <si>
    <t xml:space="preserve">7K</t>
  </si>
  <si>
    <t xml:space="preserve">2:36</t>
  </si>
  <si>
    <t xml:space="preserve">Horizon West, Florida (Winter Garden)</t>
  </si>
  <si>
    <t xml:space="preserve">8:27</t>
  </si>
  <si>
    <t xml:space="preserve">High Paying Jobs In Orlando</t>
  </si>
  <si>
    <t xml:space="preserve">8:20</t>
  </si>
  <si>
    <t xml:space="preserve">Best Orlando Condo Buildings</t>
  </si>
  <si>
    <t xml:space="preserve">7:52</t>
  </si>
  <si>
    <t xml:space="preserve">Coming To Orlando 2021</t>
  </si>
  <si>
    <t xml:space="preserve">9.7K</t>
  </si>
  <si>
    <t xml:space="preserve">6:56</t>
  </si>
  <si>
    <t xml:space="preserve">Living In Reunion Florida</t>
  </si>
  <si>
    <t xml:space="preserve">8:55</t>
  </si>
  <si>
    <t xml:space="preserve">The 7 Best Photo Spots in Orlando</t>
  </si>
  <si>
    <t xml:space="preserve">4.4K</t>
  </si>
  <si>
    <t xml:space="preserve">6:42</t>
  </si>
  <si>
    <t xml:space="preserve">What $1 Million Buys: Winter Garden Home Tour</t>
  </si>
  <si>
    <t xml:space="preserve">4.7K</t>
  </si>
  <si>
    <t xml:space="preserve">10:29</t>
  </si>
  <si>
    <t xml:space="preserve">Ken Pozek Reacts to Ryan Serhant's Shaq House Tour</t>
  </si>
  <si>
    <t xml:space="preserve">2.4K</t>
  </si>
  <si>
    <t xml:space="preserve">Disney Fans Live Here [Top 3 Neighborhoods]</t>
  </si>
  <si>
    <t xml:space="preserve">Moving to Clermont, Florida</t>
  </si>
  <si>
    <t xml:space="preserve">5:09</t>
  </si>
  <si>
    <t xml:space="preserve">The Villages Lifestyle Visit</t>
  </si>
  <si>
    <t xml:space="preserve">490K</t>
  </si>
  <si>
    <t xml:space="preserve">11:08</t>
  </si>
  <si>
    <t xml:space="preserve">Most expensive home sales in Orlando 2020</t>
  </si>
  <si>
    <t xml:space="preserve">9.8K</t>
  </si>
  <si>
    <t xml:space="preserve">8:17</t>
  </si>
  <si>
    <t xml:space="preserve">Living in Winter Park vs Windermere</t>
  </si>
  <si>
    <t xml:space="preserve">5:23</t>
  </si>
  <si>
    <t xml:space="preserve">Navigating Orlando's Housing Market</t>
  </si>
  <si>
    <t xml:space="preserve">4.8K</t>
  </si>
  <si>
    <t xml:space="preserve">8:46</t>
  </si>
  <si>
    <t xml:space="preserve">Orlando's Hidden Gem Neighborhoods</t>
  </si>
  <si>
    <t xml:space="preserve">Moving to Dr. Phillips | Orlando, FL | Community Tour</t>
  </si>
  <si>
    <t xml:space="preserve">How Do Homeowners Associations Work?</t>
  </si>
  <si>
    <t xml:space="preserve">8:25</t>
  </si>
  <si>
    <t xml:space="preserve">Win a Bidding War When Buying A Home</t>
  </si>
  <si>
    <t xml:space="preserve">2.1K</t>
  </si>
  <si>
    <t xml:space="preserve">5:30</t>
  </si>
  <si>
    <t xml:space="preserve">Moving to Mount Dora, Florida</t>
  </si>
  <si>
    <t xml:space="preserve">7 Best Orlando Suburbs</t>
  </si>
  <si>
    <t xml:space="preserve">6:20</t>
  </si>
  <si>
    <t xml:space="preserve">Gideon's Bakehouse + Everglazed Tour and Review!</t>
  </si>
  <si>
    <t xml:space="preserve">Moving to Orlando : 5 Year Update | Orlando, Florida</t>
  </si>
  <si>
    <t xml:space="preserve">9:26</t>
  </si>
  <si>
    <t xml:space="preserve">Is Disney World Overrated or Underrated</t>
  </si>
  <si>
    <t xml:space="preserve">1.7K</t>
  </si>
  <si>
    <t xml:space="preserve">5:25</t>
  </si>
  <si>
    <t xml:space="preserve">2020 Rewind [A Year in Review]</t>
  </si>
  <si>
    <t xml:space="preserve">2K</t>
  </si>
  <si>
    <t xml:space="preserve">6:06</t>
  </si>
  <si>
    <t xml:space="preserve">Pros and Cons of living in a Gated Community</t>
  </si>
  <si>
    <t xml:space="preserve">82K</t>
  </si>
  <si>
    <t xml:space="preserve">5:02</t>
  </si>
  <si>
    <t xml:space="preserve">Visiting Walt Disney World during Holidays!</t>
  </si>
  <si>
    <t xml:space="preserve">1.2K</t>
  </si>
  <si>
    <t xml:space="preserve">7:55</t>
  </si>
  <si>
    <t xml:space="preserve">Buying a House Sight Unseen [step by step]</t>
  </si>
  <si>
    <t xml:space="preserve">Downtown Winter Garden Florida | Tour, Restaurants, and Shopping</t>
  </si>
  <si>
    <t xml:space="preserve">8:04</t>
  </si>
  <si>
    <t xml:space="preserve">Tips For Flipping Your First House [Before and After]</t>
  </si>
  <si>
    <t xml:space="preserve">1.5K</t>
  </si>
  <si>
    <t xml:space="preserve">Shaquille O'Neal's $16 Million Mansion Tour in Orlando Florida</t>
  </si>
  <si>
    <t xml:space="preserve">2M</t>
  </si>
  <si>
    <t xml:space="preserve">12:57</t>
  </si>
  <si>
    <t xml:space="preserve">Boom or Bust?! 2021 Housing Predictions for Orlando [And Beyond]</t>
  </si>
  <si>
    <t xml:space="preserve">3:14</t>
  </si>
  <si>
    <t xml:space="preserve">Lake Nona | An Inside Look | Orlando Florida</t>
  </si>
  <si>
    <t xml:space="preserve">41K</t>
  </si>
  <si>
    <t xml:space="preserve">8:47</t>
  </si>
  <si>
    <t xml:space="preserve">Keene's Pointe Neighborhood [Windermere, Florida]</t>
  </si>
  <si>
    <t xml:space="preserve">3:43</t>
  </si>
  <si>
    <t xml:space="preserve">How to be a Successful Real Estate Agent</t>
  </si>
  <si>
    <t xml:space="preserve">12:20</t>
  </si>
  <si>
    <t xml:space="preserve">Life in Celebration, Florida</t>
  </si>
  <si>
    <t xml:space="preserve">5:13</t>
  </si>
  <si>
    <t xml:space="preserve">Steps to Buying a Home</t>
  </si>
  <si>
    <t xml:space="preserve">5:31</t>
  </si>
  <si>
    <t xml:space="preserve">Life in Orlando</t>
  </si>
  <si>
    <t xml:space="preserve">4:12</t>
  </si>
  <si>
    <t xml:space="preserve">Walt Disney by Helicopter!</t>
  </si>
  <si>
    <t xml:space="preserve">5:00</t>
  </si>
  <si>
    <t xml:space="preserve">5 Reasons Why People Are Moving to Orlando</t>
  </si>
  <si>
    <t xml:space="preserve">2:34</t>
  </si>
  <si>
    <t xml:space="preserve">Windermere Luxury Home Tour</t>
  </si>
  <si>
    <t xml:space="preserve">5:19</t>
  </si>
  <si>
    <t xml:space="preserve">Best Places to Live in Celebration, Florida</t>
  </si>
  <si>
    <t xml:space="preserve">5:08</t>
  </si>
  <si>
    <t xml:space="preserve">Orlando's Coming Housing Crash</t>
  </si>
  <si>
    <t xml:space="preserve">3:17</t>
  </si>
  <si>
    <t xml:space="preserve">Winter Garden Lakefront Living! [New Listing]</t>
  </si>
  <si>
    <t xml:space="preserve">6:18</t>
  </si>
  <si>
    <t xml:space="preserve">5 Reasons Your Home Won't Sell</t>
  </si>
  <si>
    <t xml:space="preserve">1.8K</t>
  </si>
  <si>
    <t xml:space="preserve">Ken Responds to YOUR Comments [Good and Bad]</t>
  </si>
  <si>
    <t xml:space="preserve">9:01</t>
  </si>
  <si>
    <t xml:space="preserve">The BEST pizza in Orlando?</t>
  </si>
  <si>
    <t xml:space="preserve">3:57</t>
  </si>
  <si>
    <t xml:space="preserve">Moving to Downtown Orlando</t>
  </si>
  <si>
    <t xml:space="preserve">4:09</t>
  </si>
  <si>
    <t xml:space="preserve">How to Flip A House</t>
  </si>
  <si>
    <t xml:space="preserve">The BEST Donut in Orlando</t>
  </si>
  <si>
    <t xml:space="preserve">6:48</t>
  </si>
  <si>
    <t xml:space="preserve">Lakefront Living in Windermere, Florida [New Listing Alert!]</t>
  </si>
  <si>
    <t xml:space="preserve">The NBA bubble</t>
  </si>
  <si>
    <t xml:space="preserve">783</t>
  </si>
  <si>
    <t xml:space="preserve">Living in Baldwin Park [Orlando, Florida]</t>
  </si>
  <si>
    <t xml:space="preserve">4:26</t>
  </si>
  <si>
    <t xml:space="preserve">Moving to Bay Hill [Orlando, Florida]</t>
  </si>
  <si>
    <t xml:space="preserve">3:30</t>
  </si>
  <si>
    <t xml:space="preserve">Living in Oakland Park [Winter Garden]</t>
  </si>
  <si>
    <t xml:space="preserve">6.7K</t>
  </si>
  <si>
    <t xml:space="preserve">3:40</t>
  </si>
  <si>
    <t xml:space="preserve">Video Count</t>
  </si>
  <si>
    <t xml:space="preserve">Total Views</t>
  </si>
  <si>
    <t xml:space="preserve">Avg Views</t>
  </si>
  <si>
    <t xml:space="preserve">% of Videos</t>
  </si>
  <si>
    <t xml:space="preserve">TOTAL</t>
  </si>
  <si>
    <t xml:space="preserve">Rank</t>
  </si>
  <si>
    <t xml:space="preserve">Year 1 (most recent)</t>
  </si>
  <si>
    <t xml:space="preserve">Year 2</t>
  </si>
  <si>
    <t xml:space="preserve">Year 3</t>
  </si>
  <si>
    <t xml:space="preserve">Year 4</t>
  </si>
  <si>
    <t xml:space="preserve">Year 5</t>
  </si>
  <si>
    <t xml:space="preserve">Year 6 (oldest)</t>
  </si>
  <si>
    <t xml:space="preserve">Total</t>
  </si>
  <si>
    <t xml:space="preserve">Ken's Year-1 Title (5 years ago)</t>
  </si>
  <si>
    <t xml:space="preserve">NH Equivalent Idea</t>
  </si>
  <si>
    <t xml:space="preserve">Retirement community deep-dive — pick a NH 55+</t>
  </si>
  <si>
    <t xml:space="preserve">Pros and Cons of buying in a private community</t>
  </si>
  <si>
    <t xml:space="preserve">7 Best Manchester-Area Suburbs</t>
  </si>
  <si>
    <t xml:space="preserve">Moving to Milford, NH</t>
  </si>
  <si>
    <t xml:space="preserve">Boston Commuters Live Here [Top 3 NH Towns]</t>
  </si>
  <si>
    <t xml:space="preserve">Best Manchester &amp; Nashua Condo Buildings</t>
  </si>
  <si>
    <t xml:space="preserve">Moving to Bedford, NH | Community Tour</t>
  </si>
  <si>
    <t xml:space="preserve">Moving to Peterborough, NH</t>
  </si>
  <si>
    <t xml:space="preserve">Life in Mont Vernon, NH</t>
  </si>
  <si>
    <t xml:space="preserve">How Do NH Property Taxes Actually Work?</t>
  </si>
  <si>
    <t xml:space="preserve">Living in Amherst vs Hollis</t>
  </si>
  <si>
    <t xml:space="preserve">Best Places to Live in Amherst, NH</t>
  </si>
  <si>
    <t xml:space="preserve">Lakefront living: Lake Winnipesaukee &amp; Squam</t>
  </si>
  <si>
    <t xml:space="preserve">NH's Hidden Gem Towns</t>
  </si>
  <si>
    <t xml:space="preserve">The Souhegan Valley: NH's hidden growth corridor</t>
  </si>
  <si>
    <t xml:space="preserve">Living in Amherst, NH</t>
  </si>
  <si>
    <t xml:space="preserve">Moving to Downtown Nashua</t>
  </si>
  <si>
    <t xml:space="preserve">Life in Southern NH</t>
  </si>
  <si>
    <t xml:space="preserve">The BEST pizza in southern NH</t>
  </si>
  <si>
    <t xml:space="preserve">The BEST bakery in the Souhegan Valley</t>
  </si>
  <si>
    <t xml:space="preserve">Living in New Boston, NH</t>
  </si>
  <si>
    <t xml:space="preserve">5 Reasons Floridians Are Moving to NH</t>
  </si>
  <si>
    <t xml:space="preserve">Moving to Hollis, NH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</si>
</sst>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F8FB"/>
        <bgColor rgb="FFFFFFF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4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8FB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5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4" t="s">
        <v>7</v>
      </c>
      <c r="C2" s="5" t="s">
        <v>8</v>
      </c>
      <c r="D2" s="3" t="s">
        <v>9</v>
      </c>
      <c r="E2" s="3" t="n">
        <v>19000</v>
      </c>
      <c r="F2" s="3" t="s">
        <v>10</v>
      </c>
      <c r="G2" s="3" t="s">
        <v>11</v>
      </c>
    </row>
    <row r="3" customFormat="false" ht="15" hidden="false" customHeight="true" outlineLevel="0" collapsed="false">
      <c r="A3" s="6" t="n">
        <v>2</v>
      </c>
      <c r="B3" s="7" t="s">
        <v>12</v>
      </c>
      <c r="C3" s="8" t="s">
        <v>13</v>
      </c>
      <c r="D3" s="6" t="s">
        <v>14</v>
      </c>
      <c r="E3" s="6" t="n">
        <v>10000</v>
      </c>
      <c r="F3" s="6" t="s">
        <v>15</v>
      </c>
      <c r="G3" s="6" t="s">
        <v>16</v>
      </c>
    </row>
    <row r="4" customFormat="false" ht="15" hidden="false" customHeight="true" outlineLevel="0" collapsed="false">
      <c r="A4" s="3" t="n">
        <v>3</v>
      </c>
      <c r="B4" s="4" t="s">
        <v>17</v>
      </c>
      <c r="C4" s="5" t="s">
        <v>18</v>
      </c>
      <c r="D4" s="3" t="s">
        <v>19</v>
      </c>
      <c r="E4" s="3" t="n">
        <v>12000</v>
      </c>
      <c r="F4" s="3" t="s">
        <v>20</v>
      </c>
      <c r="G4" s="3" t="s">
        <v>21</v>
      </c>
    </row>
    <row r="5" customFormat="false" ht="15" hidden="false" customHeight="true" outlineLevel="0" collapsed="false">
      <c r="A5" s="6" t="n">
        <v>4</v>
      </c>
      <c r="B5" s="7" t="s">
        <v>22</v>
      </c>
      <c r="C5" s="8" t="s">
        <v>8</v>
      </c>
      <c r="D5" s="6" t="s">
        <v>23</v>
      </c>
      <c r="E5" s="6" t="n">
        <v>6800</v>
      </c>
      <c r="F5" s="6" t="s">
        <v>20</v>
      </c>
      <c r="G5" s="6" t="s">
        <v>24</v>
      </c>
    </row>
    <row r="6" customFormat="false" ht="15" hidden="false" customHeight="true" outlineLevel="0" collapsed="false">
      <c r="A6" s="3" t="n">
        <v>5</v>
      </c>
      <c r="B6" s="4" t="s">
        <v>25</v>
      </c>
      <c r="C6" s="5" t="s">
        <v>13</v>
      </c>
      <c r="D6" s="3" t="s">
        <v>26</v>
      </c>
      <c r="E6" s="3" t="n">
        <v>72000</v>
      </c>
      <c r="F6" s="3" t="s">
        <v>20</v>
      </c>
      <c r="G6" s="3" t="s">
        <v>27</v>
      </c>
    </row>
    <row r="7" customFormat="false" ht="15" hidden="false" customHeight="true" outlineLevel="0" collapsed="false">
      <c r="A7" s="6" t="n">
        <v>6</v>
      </c>
      <c r="B7" s="7" t="s">
        <v>28</v>
      </c>
      <c r="C7" s="8" t="s">
        <v>29</v>
      </c>
      <c r="D7" s="6" t="s">
        <v>30</v>
      </c>
      <c r="E7" s="6" t="n">
        <v>17000</v>
      </c>
      <c r="F7" s="6" t="s">
        <v>31</v>
      </c>
      <c r="G7" s="6" t="s">
        <v>32</v>
      </c>
    </row>
    <row r="8" customFormat="false" ht="15" hidden="false" customHeight="true" outlineLevel="0" collapsed="false">
      <c r="A8" s="3" t="n">
        <v>7</v>
      </c>
      <c r="B8" s="4" t="s">
        <v>33</v>
      </c>
      <c r="C8" s="5" t="s">
        <v>34</v>
      </c>
      <c r="D8" s="3" t="s">
        <v>35</v>
      </c>
      <c r="E8" s="3" t="n">
        <v>52000</v>
      </c>
      <c r="F8" s="3" t="s">
        <v>36</v>
      </c>
      <c r="G8" s="3" t="s">
        <v>37</v>
      </c>
    </row>
    <row r="9" customFormat="false" ht="15" hidden="false" customHeight="true" outlineLevel="0" collapsed="false">
      <c r="A9" s="6" t="n">
        <v>8</v>
      </c>
      <c r="B9" s="7" t="s">
        <v>38</v>
      </c>
      <c r="C9" s="8" t="s">
        <v>13</v>
      </c>
      <c r="D9" s="6" t="s">
        <v>39</v>
      </c>
      <c r="E9" s="6" t="n">
        <v>27000</v>
      </c>
      <c r="F9" s="6" t="s">
        <v>36</v>
      </c>
      <c r="G9" s="6" t="s">
        <v>40</v>
      </c>
    </row>
    <row r="10" customFormat="false" ht="15" hidden="false" customHeight="true" outlineLevel="0" collapsed="false">
      <c r="A10" s="3" t="n">
        <v>9</v>
      </c>
      <c r="B10" s="4" t="s">
        <v>41</v>
      </c>
      <c r="C10" s="5" t="s">
        <v>13</v>
      </c>
      <c r="D10" s="3" t="s">
        <v>19</v>
      </c>
      <c r="E10" s="3" t="n">
        <v>12000</v>
      </c>
      <c r="F10" s="3" t="s">
        <v>36</v>
      </c>
      <c r="G10" s="3" t="s">
        <v>42</v>
      </c>
    </row>
    <row r="11" customFormat="false" ht="15" hidden="false" customHeight="true" outlineLevel="0" collapsed="false">
      <c r="A11" s="6" t="n">
        <v>10</v>
      </c>
      <c r="B11" s="7" t="s">
        <v>43</v>
      </c>
      <c r="C11" s="8" t="s">
        <v>8</v>
      </c>
      <c r="D11" s="6" t="s">
        <v>44</v>
      </c>
      <c r="E11" s="6" t="n">
        <v>21000</v>
      </c>
      <c r="F11" s="6" t="s">
        <v>45</v>
      </c>
      <c r="G11" s="6" t="s">
        <v>46</v>
      </c>
    </row>
    <row r="12" customFormat="false" ht="15" hidden="false" customHeight="true" outlineLevel="0" collapsed="false">
      <c r="A12" s="3" t="n">
        <v>11</v>
      </c>
      <c r="B12" s="4" t="s">
        <v>47</v>
      </c>
      <c r="C12" s="5" t="s">
        <v>8</v>
      </c>
      <c r="D12" s="3" t="s">
        <v>30</v>
      </c>
      <c r="E12" s="3" t="n">
        <v>17000</v>
      </c>
      <c r="F12" s="3" t="s">
        <v>48</v>
      </c>
      <c r="G12" s="3" t="s">
        <v>49</v>
      </c>
    </row>
    <row r="13" customFormat="false" ht="15" hidden="false" customHeight="true" outlineLevel="0" collapsed="false">
      <c r="A13" s="6" t="n">
        <v>12</v>
      </c>
      <c r="B13" s="7" t="s">
        <v>50</v>
      </c>
      <c r="C13" s="8" t="s">
        <v>13</v>
      </c>
      <c r="D13" s="6" t="s">
        <v>51</v>
      </c>
      <c r="E13" s="6" t="n">
        <v>15000</v>
      </c>
      <c r="F13" s="6" t="s">
        <v>48</v>
      </c>
      <c r="G13" s="6" t="s">
        <v>52</v>
      </c>
    </row>
    <row r="14" customFormat="false" ht="15" hidden="false" customHeight="true" outlineLevel="0" collapsed="false">
      <c r="A14" s="3" t="n">
        <v>13</v>
      </c>
      <c r="B14" s="4" t="s">
        <v>53</v>
      </c>
      <c r="C14" s="5" t="s">
        <v>13</v>
      </c>
      <c r="D14" s="3" t="s">
        <v>54</v>
      </c>
      <c r="E14" s="3" t="n">
        <v>7100</v>
      </c>
      <c r="F14" s="3" t="s">
        <v>55</v>
      </c>
      <c r="G14" s="3" t="s">
        <v>56</v>
      </c>
    </row>
    <row r="15" customFormat="false" ht="15" hidden="false" customHeight="true" outlineLevel="0" collapsed="false">
      <c r="A15" s="6" t="n">
        <v>14</v>
      </c>
      <c r="B15" s="7" t="s">
        <v>57</v>
      </c>
      <c r="C15" s="8" t="s">
        <v>13</v>
      </c>
      <c r="D15" s="6" t="s">
        <v>19</v>
      </c>
      <c r="E15" s="6" t="n">
        <v>12000</v>
      </c>
      <c r="F15" s="6" t="s">
        <v>58</v>
      </c>
      <c r="G15" s="6" t="s">
        <v>59</v>
      </c>
    </row>
    <row r="16" customFormat="false" ht="15" hidden="false" customHeight="true" outlineLevel="0" collapsed="false">
      <c r="A16" s="3" t="n">
        <v>15</v>
      </c>
      <c r="B16" s="4" t="s">
        <v>60</v>
      </c>
      <c r="C16" s="5" t="s">
        <v>8</v>
      </c>
      <c r="D16" s="3" t="s">
        <v>61</v>
      </c>
      <c r="E16" s="3" t="n">
        <v>9000</v>
      </c>
      <c r="F16" s="3" t="s">
        <v>58</v>
      </c>
      <c r="G16" s="3" t="s">
        <v>62</v>
      </c>
    </row>
    <row r="17" customFormat="false" ht="15" hidden="false" customHeight="true" outlineLevel="0" collapsed="false">
      <c r="A17" s="6" t="n">
        <v>16</v>
      </c>
      <c r="B17" s="7" t="s">
        <v>63</v>
      </c>
      <c r="C17" s="8" t="s">
        <v>18</v>
      </c>
      <c r="D17" s="6" t="s">
        <v>64</v>
      </c>
      <c r="E17" s="6" t="n">
        <v>35000</v>
      </c>
      <c r="F17" s="6" t="s">
        <v>65</v>
      </c>
      <c r="G17" s="6" t="s">
        <v>66</v>
      </c>
    </row>
    <row r="18" customFormat="false" ht="15" hidden="false" customHeight="true" outlineLevel="0" collapsed="false">
      <c r="A18" s="3" t="n">
        <v>17</v>
      </c>
      <c r="B18" s="4" t="s">
        <v>67</v>
      </c>
      <c r="C18" s="5" t="s">
        <v>34</v>
      </c>
      <c r="D18" s="3" t="s">
        <v>68</v>
      </c>
      <c r="E18" s="3" t="n">
        <v>8000</v>
      </c>
      <c r="F18" s="3" t="s">
        <v>65</v>
      </c>
      <c r="G18" s="3" t="s">
        <v>69</v>
      </c>
    </row>
    <row r="19" customFormat="false" ht="15" hidden="false" customHeight="true" outlineLevel="0" collapsed="false">
      <c r="A19" s="6" t="n">
        <v>18</v>
      </c>
      <c r="B19" s="7" t="s">
        <v>70</v>
      </c>
      <c r="C19" s="8" t="s">
        <v>8</v>
      </c>
      <c r="D19" s="6" t="s">
        <v>71</v>
      </c>
      <c r="E19" s="6" t="n">
        <v>6300</v>
      </c>
      <c r="F19" s="6" t="s">
        <v>65</v>
      </c>
      <c r="G19" s="6" t="s">
        <v>72</v>
      </c>
    </row>
    <row r="20" customFormat="false" ht="15" hidden="false" customHeight="true" outlineLevel="0" collapsed="false">
      <c r="A20" s="3" t="n">
        <v>19</v>
      </c>
      <c r="B20" s="4" t="s">
        <v>73</v>
      </c>
      <c r="C20" s="5" t="s">
        <v>29</v>
      </c>
      <c r="D20" s="3" t="s">
        <v>74</v>
      </c>
      <c r="E20" s="3" t="n">
        <v>31000</v>
      </c>
      <c r="F20" s="3" t="s">
        <v>75</v>
      </c>
      <c r="G20" s="3" t="s">
        <v>76</v>
      </c>
    </row>
    <row r="21" customFormat="false" ht="15" hidden="false" customHeight="true" outlineLevel="0" collapsed="false">
      <c r="A21" s="6" t="n">
        <v>20</v>
      </c>
      <c r="B21" s="7" t="s">
        <v>77</v>
      </c>
      <c r="C21" s="8" t="s">
        <v>8</v>
      </c>
      <c r="D21" s="6" t="s">
        <v>78</v>
      </c>
      <c r="E21" s="6" t="n">
        <v>25000</v>
      </c>
      <c r="F21" s="6" t="s">
        <v>75</v>
      </c>
      <c r="G21" s="6" t="s">
        <v>79</v>
      </c>
    </row>
    <row r="22" customFormat="false" ht="15" hidden="false" customHeight="true" outlineLevel="0" collapsed="false">
      <c r="A22" s="3" t="n">
        <v>21</v>
      </c>
      <c r="B22" s="4" t="s">
        <v>80</v>
      </c>
      <c r="C22" s="5" t="s">
        <v>81</v>
      </c>
      <c r="D22" s="3" t="s">
        <v>51</v>
      </c>
      <c r="E22" s="3" t="n">
        <v>15000</v>
      </c>
      <c r="F22" s="3" t="s">
        <v>75</v>
      </c>
      <c r="G22" s="3" t="s">
        <v>82</v>
      </c>
    </row>
    <row r="23" customFormat="false" ht="15" hidden="false" customHeight="true" outlineLevel="0" collapsed="false">
      <c r="A23" s="6" t="n">
        <v>22</v>
      </c>
      <c r="B23" s="7" t="s">
        <v>83</v>
      </c>
      <c r="C23" s="8" t="s">
        <v>84</v>
      </c>
      <c r="D23" s="6" t="s">
        <v>85</v>
      </c>
      <c r="E23" s="6" t="n">
        <v>5400</v>
      </c>
      <c r="F23" s="6" t="s">
        <v>75</v>
      </c>
      <c r="G23" s="6" t="s">
        <v>86</v>
      </c>
    </row>
    <row r="24" customFormat="false" ht="15" hidden="false" customHeight="true" outlineLevel="0" collapsed="false">
      <c r="A24" s="3" t="n">
        <v>23</v>
      </c>
      <c r="B24" s="4" t="s">
        <v>87</v>
      </c>
      <c r="C24" s="5" t="s">
        <v>8</v>
      </c>
      <c r="D24" s="3" t="s">
        <v>88</v>
      </c>
      <c r="E24" s="3" t="n">
        <v>38000</v>
      </c>
      <c r="F24" s="3" t="s">
        <v>89</v>
      </c>
      <c r="G24" s="3" t="s">
        <v>90</v>
      </c>
    </row>
    <row r="25" customFormat="false" ht="15" hidden="false" customHeight="true" outlineLevel="0" collapsed="false">
      <c r="A25" s="6" t="n">
        <v>24</v>
      </c>
      <c r="B25" s="7" t="s">
        <v>91</v>
      </c>
      <c r="C25" s="8" t="s">
        <v>8</v>
      </c>
      <c r="D25" s="6" t="s">
        <v>92</v>
      </c>
      <c r="E25" s="6" t="n">
        <v>18000</v>
      </c>
      <c r="F25" s="6" t="s">
        <v>89</v>
      </c>
      <c r="G25" s="6" t="s">
        <v>93</v>
      </c>
    </row>
    <row r="26" customFormat="false" ht="15" hidden="false" customHeight="true" outlineLevel="0" collapsed="false">
      <c r="A26" s="3" t="n">
        <v>25</v>
      </c>
      <c r="B26" s="4" t="s">
        <v>94</v>
      </c>
      <c r="C26" s="5" t="s">
        <v>81</v>
      </c>
      <c r="D26" s="3" t="s">
        <v>95</v>
      </c>
      <c r="E26" s="3" t="n">
        <v>24000</v>
      </c>
      <c r="F26" s="3" t="s">
        <v>96</v>
      </c>
      <c r="G26" s="3" t="s">
        <v>97</v>
      </c>
    </row>
    <row r="27" customFormat="false" ht="15" hidden="false" customHeight="true" outlineLevel="0" collapsed="false">
      <c r="A27" s="6" t="n">
        <v>26</v>
      </c>
      <c r="B27" s="7" t="s">
        <v>98</v>
      </c>
      <c r="C27" s="8" t="s">
        <v>81</v>
      </c>
      <c r="D27" s="6" t="s">
        <v>51</v>
      </c>
      <c r="E27" s="6" t="n">
        <v>15000</v>
      </c>
      <c r="F27" s="6" t="s">
        <v>96</v>
      </c>
      <c r="G27" s="6" t="s">
        <v>99</v>
      </c>
    </row>
    <row r="28" customFormat="false" ht="15" hidden="false" customHeight="true" outlineLevel="0" collapsed="false">
      <c r="A28" s="3" t="n">
        <v>27</v>
      </c>
      <c r="B28" s="4" t="s">
        <v>100</v>
      </c>
      <c r="C28" s="5" t="s">
        <v>101</v>
      </c>
      <c r="D28" s="3" t="s">
        <v>102</v>
      </c>
      <c r="E28" s="3" t="n">
        <v>1600</v>
      </c>
      <c r="F28" s="3" t="s">
        <v>96</v>
      </c>
      <c r="G28" s="3" t="s">
        <v>103</v>
      </c>
    </row>
    <row r="29" customFormat="false" ht="15" hidden="false" customHeight="true" outlineLevel="0" collapsed="false">
      <c r="A29" s="6" t="n">
        <v>28</v>
      </c>
      <c r="B29" s="7" t="s">
        <v>104</v>
      </c>
      <c r="C29" s="8" t="s">
        <v>84</v>
      </c>
      <c r="D29" s="6" t="s">
        <v>105</v>
      </c>
      <c r="E29" s="6" t="n">
        <v>3900</v>
      </c>
      <c r="F29" s="6" t="s">
        <v>96</v>
      </c>
      <c r="G29" s="6" t="s">
        <v>106</v>
      </c>
    </row>
    <row r="30" customFormat="false" ht="15" hidden="false" customHeight="true" outlineLevel="0" collapsed="false">
      <c r="A30" s="3" t="n">
        <v>29</v>
      </c>
      <c r="B30" s="4" t="s">
        <v>107</v>
      </c>
      <c r="C30" s="5" t="s">
        <v>13</v>
      </c>
      <c r="D30" s="3" t="s">
        <v>108</v>
      </c>
      <c r="E30" s="3" t="n">
        <v>11000</v>
      </c>
      <c r="F30" s="3" t="s">
        <v>109</v>
      </c>
      <c r="G30" s="3" t="s">
        <v>110</v>
      </c>
    </row>
    <row r="31" customFormat="false" ht="15" hidden="false" customHeight="true" outlineLevel="0" collapsed="false">
      <c r="A31" s="6" t="n">
        <v>30</v>
      </c>
      <c r="B31" s="7" t="s">
        <v>111</v>
      </c>
      <c r="C31" s="8" t="s">
        <v>8</v>
      </c>
      <c r="D31" s="6" t="s">
        <v>112</v>
      </c>
      <c r="E31" s="6" t="n">
        <v>29000</v>
      </c>
      <c r="F31" s="6" t="s">
        <v>109</v>
      </c>
      <c r="G31" s="6" t="s">
        <v>113</v>
      </c>
    </row>
    <row r="32" customFormat="false" ht="15" hidden="false" customHeight="true" outlineLevel="0" collapsed="false">
      <c r="A32" s="3" t="n">
        <v>31</v>
      </c>
      <c r="B32" s="4" t="s">
        <v>114</v>
      </c>
      <c r="C32" s="5" t="s">
        <v>13</v>
      </c>
      <c r="D32" s="3" t="s">
        <v>74</v>
      </c>
      <c r="E32" s="3" t="n">
        <v>31000</v>
      </c>
      <c r="F32" s="3" t="s">
        <v>109</v>
      </c>
      <c r="G32" s="3" t="s">
        <v>115</v>
      </c>
    </row>
    <row r="33" customFormat="false" ht="15" hidden="false" customHeight="true" outlineLevel="0" collapsed="false">
      <c r="A33" s="6" t="n">
        <v>32</v>
      </c>
      <c r="B33" s="7" t="s">
        <v>116</v>
      </c>
      <c r="C33" s="8" t="s">
        <v>8</v>
      </c>
      <c r="D33" s="6" t="s">
        <v>117</v>
      </c>
      <c r="E33" s="6" t="n">
        <v>111000</v>
      </c>
      <c r="F33" s="6" t="s">
        <v>109</v>
      </c>
      <c r="G33" s="6" t="s">
        <v>118</v>
      </c>
    </row>
    <row r="34" customFormat="false" ht="15" hidden="false" customHeight="true" outlineLevel="0" collapsed="false">
      <c r="A34" s="3" t="n">
        <v>33</v>
      </c>
      <c r="B34" s="4" t="s">
        <v>119</v>
      </c>
      <c r="C34" s="5" t="s">
        <v>13</v>
      </c>
      <c r="D34" s="3" t="s">
        <v>120</v>
      </c>
      <c r="E34" s="3" t="n">
        <v>8900</v>
      </c>
      <c r="F34" s="3" t="s">
        <v>109</v>
      </c>
      <c r="G34" s="3" t="s">
        <v>121</v>
      </c>
    </row>
    <row r="35" customFormat="false" ht="15" hidden="false" customHeight="true" outlineLevel="0" collapsed="false">
      <c r="A35" s="6" t="n">
        <v>34</v>
      </c>
      <c r="B35" s="7" t="s">
        <v>122</v>
      </c>
      <c r="C35" s="8" t="s">
        <v>29</v>
      </c>
      <c r="D35" s="6" t="s">
        <v>123</v>
      </c>
      <c r="E35" s="6" t="n">
        <v>28000</v>
      </c>
      <c r="F35" s="6" t="s">
        <v>109</v>
      </c>
      <c r="G35" s="6" t="s">
        <v>42</v>
      </c>
    </row>
    <row r="36" customFormat="false" ht="15" hidden="false" customHeight="true" outlineLevel="0" collapsed="false">
      <c r="A36" s="3" t="n">
        <v>35</v>
      </c>
      <c r="B36" s="4" t="s">
        <v>124</v>
      </c>
      <c r="C36" s="5" t="s">
        <v>34</v>
      </c>
      <c r="D36" s="3" t="s">
        <v>125</v>
      </c>
      <c r="E36" s="3" t="n">
        <v>81000</v>
      </c>
      <c r="F36" s="3" t="s">
        <v>109</v>
      </c>
      <c r="G36" s="3" t="s">
        <v>69</v>
      </c>
    </row>
    <row r="37" customFormat="false" ht="15" hidden="false" customHeight="true" outlineLevel="0" collapsed="false">
      <c r="A37" s="6" t="n">
        <v>36</v>
      </c>
      <c r="B37" s="7" t="s">
        <v>126</v>
      </c>
      <c r="C37" s="8" t="s">
        <v>29</v>
      </c>
      <c r="D37" s="6" t="s">
        <v>78</v>
      </c>
      <c r="E37" s="6" t="n">
        <v>25000</v>
      </c>
      <c r="F37" s="6" t="s">
        <v>109</v>
      </c>
      <c r="G37" s="6" t="s">
        <v>127</v>
      </c>
    </row>
    <row r="38" customFormat="false" ht="15" hidden="false" customHeight="true" outlineLevel="0" collapsed="false">
      <c r="A38" s="3" t="n">
        <v>37</v>
      </c>
      <c r="B38" s="4" t="s">
        <v>128</v>
      </c>
      <c r="C38" s="5" t="s">
        <v>13</v>
      </c>
      <c r="D38" s="3" t="s">
        <v>112</v>
      </c>
      <c r="E38" s="3" t="n">
        <v>29000</v>
      </c>
      <c r="F38" s="3" t="s">
        <v>109</v>
      </c>
      <c r="G38" s="3" t="s">
        <v>129</v>
      </c>
    </row>
    <row r="39" customFormat="false" ht="15" hidden="false" customHeight="true" outlineLevel="0" collapsed="false">
      <c r="A39" s="6" t="n">
        <v>38</v>
      </c>
      <c r="B39" s="7" t="s">
        <v>130</v>
      </c>
      <c r="C39" s="8" t="s">
        <v>8</v>
      </c>
      <c r="D39" s="6" t="s">
        <v>131</v>
      </c>
      <c r="E39" s="6" t="n">
        <v>6100</v>
      </c>
      <c r="F39" s="6" t="s">
        <v>109</v>
      </c>
      <c r="G39" s="6" t="s">
        <v>132</v>
      </c>
    </row>
    <row r="40" customFormat="false" ht="15" hidden="false" customHeight="true" outlineLevel="0" collapsed="false">
      <c r="A40" s="3" t="n">
        <v>39</v>
      </c>
      <c r="B40" s="4" t="s">
        <v>133</v>
      </c>
      <c r="C40" s="5" t="s">
        <v>18</v>
      </c>
      <c r="D40" s="3" t="s">
        <v>51</v>
      </c>
      <c r="E40" s="3" t="n">
        <v>15000</v>
      </c>
      <c r="F40" s="3" t="s">
        <v>109</v>
      </c>
      <c r="G40" s="3" t="s">
        <v>134</v>
      </c>
    </row>
    <row r="41" customFormat="false" ht="15" hidden="false" customHeight="true" outlineLevel="0" collapsed="false">
      <c r="A41" s="6" t="n">
        <v>40</v>
      </c>
      <c r="B41" s="7" t="s">
        <v>135</v>
      </c>
      <c r="C41" s="8" t="s">
        <v>8</v>
      </c>
      <c r="D41" s="6" t="s">
        <v>136</v>
      </c>
      <c r="E41" s="6" t="n">
        <v>22000</v>
      </c>
      <c r="F41" s="6" t="s">
        <v>109</v>
      </c>
      <c r="G41" s="6" t="s">
        <v>137</v>
      </c>
    </row>
    <row r="42" customFormat="false" ht="15" hidden="false" customHeight="true" outlineLevel="0" collapsed="false">
      <c r="A42" s="3" t="n">
        <v>41</v>
      </c>
      <c r="B42" s="4" t="s">
        <v>138</v>
      </c>
      <c r="C42" s="5" t="s">
        <v>18</v>
      </c>
      <c r="D42" s="3" t="s">
        <v>139</v>
      </c>
      <c r="E42" s="3" t="n">
        <v>39000</v>
      </c>
      <c r="F42" s="3" t="s">
        <v>109</v>
      </c>
      <c r="G42" s="3" t="s">
        <v>140</v>
      </c>
    </row>
    <row r="43" customFormat="false" ht="15" hidden="false" customHeight="true" outlineLevel="0" collapsed="false">
      <c r="A43" s="6" t="n">
        <v>42</v>
      </c>
      <c r="B43" s="7" t="s">
        <v>141</v>
      </c>
      <c r="C43" s="8" t="s">
        <v>81</v>
      </c>
      <c r="D43" s="6" t="s">
        <v>142</v>
      </c>
      <c r="E43" s="6" t="n">
        <v>59000</v>
      </c>
      <c r="F43" s="6" t="s">
        <v>109</v>
      </c>
      <c r="G43" s="6" t="s">
        <v>143</v>
      </c>
    </row>
    <row r="44" customFormat="false" ht="15" hidden="false" customHeight="true" outlineLevel="0" collapsed="false">
      <c r="A44" s="3" t="n">
        <v>43</v>
      </c>
      <c r="B44" s="4" t="s">
        <v>144</v>
      </c>
      <c r="C44" s="5" t="s">
        <v>18</v>
      </c>
      <c r="D44" s="3" t="s">
        <v>44</v>
      </c>
      <c r="E44" s="3" t="n">
        <v>21000</v>
      </c>
      <c r="F44" s="3" t="s">
        <v>109</v>
      </c>
      <c r="G44" s="3" t="s">
        <v>134</v>
      </c>
    </row>
    <row r="45" customFormat="false" ht="15" hidden="false" customHeight="true" outlineLevel="0" collapsed="false">
      <c r="A45" s="6" t="n">
        <v>44</v>
      </c>
      <c r="B45" s="7" t="s">
        <v>145</v>
      </c>
      <c r="C45" s="8" t="s">
        <v>8</v>
      </c>
      <c r="D45" s="6" t="s">
        <v>51</v>
      </c>
      <c r="E45" s="6" t="n">
        <v>15000</v>
      </c>
      <c r="F45" s="6" t="s">
        <v>109</v>
      </c>
      <c r="G45" s="6" t="s">
        <v>146</v>
      </c>
    </row>
    <row r="46" customFormat="false" ht="15" hidden="false" customHeight="true" outlineLevel="0" collapsed="false">
      <c r="A46" s="3" t="n">
        <v>45</v>
      </c>
      <c r="B46" s="4" t="s">
        <v>147</v>
      </c>
      <c r="C46" s="5" t="s">
        <v>81</v>
      </c>
      <c r="D46" s="3" t="s">
        <v>30</v>
      </c>
      <c r="E46" s="3" t="n">
        <v>17000</v>
      </c>
      <c r="F46" s="3" t="s">
        <v>109</v>
      </c>
      <c r="G46" s="3" t="s">
        <v>148</v>
      </c>
    </row>
    <row r="47" customFormat="false" ht="15" hidden="false" customHeight="true" outlineLevel="0" collapsed="false">
      <c r="A47" s="6" t="n">
        <v>46</v>
      </c>
      <c r="B47" s="7" t="s">
        <v>149</v>
      </c>
      <c r="C47" s="8" t="s">
        <v>18</v>
      </c>
      <c r="D47" s="6" t="s">
        <v>136</v>
      </c>
      <c r="E47" s="6" t="n">
        <v>22000</v>
      </c>
      <c r="F47" s="6" t="s">
        <v>109</v>
      </c>
      <c r="G47" s="6" t="s">
        <v>150</v>
      </c>
    </row>
    <row r="48" customFormat="false" ht="15" hidden="false" customHeight="true" outlineLevel="0" collapsed="false">
      <c r="A48" s="3" t="n">
        <v>47</v>
      </c>
      <c r="B48" s="4" t="s">
        <v>151</v>
      </c>
      <c r="C48" s="5" t="s">
        <v>18</v>
      </c>
      <c r="D48" s="3" t="s">
        <v>152</v>
      </c>
      <c r="E48" s="3" t="n">
        <v>100000</v>
      </c>
      <c r="F48" s="3" t="s">
        <v>109</v>
      </c>
      <c r="G48" s="3" t="s">
        <v>153</v>
      </c>
    </row>
    <row r="49" customFormat="false" ht="15" hidden="false" customHeight="true" outlineLevel="0" collapsed="false">
      <c r="A49" s="6" t="n">
        <v>48</v>
      </c>
      <c r="B49" s="7" t="s">
        <v>154</v>
      </c>
      <c r="C49" s="8" t="s">
        <v>8</v>
      </c>
      <c r="D49" s="6" t="s">
        <v>108</v>
      </c>
      <c r="E49" s="6" t="n">
        <v>11000</v>
      </c>
      <c r="F49" s="6" t="s">
        <v>109</v>
      </c>
      <c r="G49" s="6" t="s">
        <v>155</v>
      </c>
    </row>
    <row r="50" customFormat="false" ht="15" hidden="false" customHeight="true" outlineLevel="0" collapsed="false">
      <c r="A50" s="3" t="n">
        <v>49</v>
      </c>
      <c r="B50" s="4" t="s">
        <v>156</v>
      </c>
      <c r="C50" s="5" t="s">
        <v>34</v>
      </c>
      <c r="D50" s="3" t="s">
        <v>157</v>
      </c>
      <c r="E50" s="3" t="n">
        <v>110000</v>
      </c>
      <c r="F50" s="3" t="s">
        <v>109</v>
      </c>
      <c r="G50" s="3" t="s">
        <v>158</v>
      </c>
    </row>
    <row r="51" customFormat="false" ht="15" hidden="false" customHeight="true" outlineLevel="0" collapsed="false">
      <c r="A51" s="6" t="n">
        <v>50</v>
      </c>
      <c r="B51" s="7" t="s">
        <v>159</v>
      </c>
      <c r="C51" s="8" t="s">
        <v>8</v>
      </c>
      <c r="D51" s="6" t="s">
        <v>160</v>
      </c>
      <c r="E51" s="6" t="n">
        <v>69000</v>
      </c>
      <c r="F51" s="6" t="s">
        <v>109</v>
      </c>
      <c r="G51" s="6" t="s">
        <v>161</v>
      </c>
    </row>
    <row r="52" customFormat="false" ht="15" hidden="false" customHeight="true" outlineLevel="0" collapsed="false">
      <c r="A52" s="3" t="n">
        <v>51</v>
      </c>
      <c r="B52" s="4" t="s">
        <v>162</v>
      </c>
      <c r="C52" s="5" t="s">
        <v>13</v>
      </c>
      <c r="D52" s="3" t="s">
        <v>163</v>
      </c>
      <c r="E52" s="3" t="n">
        <v>26000</v>
      </c>
      <c r="F52" s="3" t="s">
        <v>109</v>
      </c>
      <c r="G52" s="3" t="s">
        <v>164</v>
      </c>
    </row>
    <row r="53" customFormat="false" ht="15" hidden="false" customHeight="true" outlineLevel="0" collapsed="false">
      <c r="A53" s="6" t="n">
        <v>52</v>
      </c>
      <c r="B53" s="7" t="s">
        <v>165</v>
      </c>
      <c r="C53" s="8" t="s">
        <v>13</v>
      </c>
      <c r="D53" s="6" t="s">
        <v>166</v>
      </c>
      <c r="E53" s="6" t="n">
        <v>77000</v>
      </c>
      <c r="F53" s="6" t="s">
        <v>109</v>
      </c>
      <c r="G53" s="6" t="s">
        <v>167</v>
      </c>
    </row>
    <row r="54" customFormat="false" ht="15" hidden="false" customHeight="true" outlineLevel="0" collapsed="false">
      <c r="A54" s="3" t="n">
        <v>53</v>
      </c>
      <c r="B54" s="4" t="s">
        <v>168</v>
      </c>
      <c r="C54" s="5" t="s">
        <v>8</v>
      </c>
      <c r="D54" s="3" t="s">
        <v>169</v>
      </c>
      <c r="E54" s="3" t="n">
        <v>8200</v>
      </c>
      <c r="F54" s="3" t="s">
        <v>109</v>
      </c>
      <c r="G54" s="3" t="s">
        <v>170</v>
      </c>
    </row>
    <row r="55" customFormat="false" ht="15" hidden="false" customHeight="true" outlineLevel="0" collapsed="false">
      <c r="A55" s="6" t="n">
        <v>54</v>
      </c>
      <c r="B55" s="7" t="s">
        <v>171</v>
      </c>
      <c r="C55" s="8" t="s">
        <v>13</v>
      </c>
      <c r="D55" s="6" t="s">
        <v>172</v>
      </c>
      <c r="E55" s="6" t="n">
        <v>32000</v>
      </c>
      <c r="F55" s="6" t="s">
        <v>109</v>
      </c>
      <c r="G55" s="6" t="s">
        <v>173</v>
      </c>
    </row>
    <row r="56" customFormat="false" ht="15" hidden="false" customHeight="true" outlineLevel="0" collapsed="false">
      <c r="A56" s="3" t="n">
        <v>55</v>
      </c>
      <c r="B56" s="4" t="s">
        <v>174</v>
      </c>
      <c r="C56" s="5" t="s">
        <v>18</v>
      </c>
      <c r="D56" s="3" t="s">
        <v>175</v>
      </c>
      <c r="E56" s="3" t="n">
        <v>20000</v>
      </c>
      <c r="F56" s="3" t="s">
        <v>109</v>
      </c>
      <c r="G56" s="3" t="s">
        <v>176</v>
      </c>
    </row>
    <row r="57" customFormat="false" ht="15" hidden="false" customHeight="true" outlineLevel="0" collapsed="false">
      <c r="A57" s="6" t="n">
        <v>56</v>
      </c>
      <c r="B57" s="7" t="s">
        <v>177</v>
      </c>
      <c r="C57" s="8" t="s">
        <v>13</v>
      </c>
      <c r="D57" s="6" t="s">
        <v>178</v>
      </c>
      <c r="E57" s="6" t="n">
        <v>34000</v>
      </c>
      <c r="F57" s="6" t="s">
        <v>109</v>
      </c>
      <c r="G57" s="6" t="s">
        <v>179</v>
      </c>
    </row>
    <row r="58" customFormat="false" ht="15" hidden="false" customHeight="true" outlineLevel="0" collapsed="false">
      <c r="A58" s="3" t="n">
        <v>57</v>
      </c>
      <c r="B58" s="4" t="s">
        <v>180</v>
      </c>
      <c r="C58" s="5" t="s">
        <v>13</v>
      </c>
      <c r="D58" s="3" t="s">
        <v>181</v>
      </c>
      <c r="E58" s="3" t="n">
        <v>45000</v>
      </c>
      <c r="F58" s="3" t="s">
        <v>109</v>
      </c>
      <c r="G58" s="3" t="s">
        <v>182</v>
      </c>
    </row>
    <row r="59" customFormat="false" ht="15" hidden="false" customHeight="true" outlineLevel="0" collapsed="false">
      <c r="A59" s="6" t="n">
        <v>58</v>
      </c>
      <c r="B59" s="7" t="s">
        <v>183</v>
      </c>
      <c r="C59" s="8" t="s">
        <v>13</v>
      </c>
      <c r="D59" s="6" t="s">
        <v>178</v>
      </c>
      <c r="E59" s="6" t="n">
        <v>34000</v>
      </c>
      <c r="F59" s="6" t="s">
        <v>109</v>
      </c>
      <c r="G59" s="6" t="s">
        <v>184</v>
      </c>
    </row>
    <row r="60" customFormat="false" ht="15" hidden="false" customHeight="true" outlineLevel="0" collapsed="false">
      <c r="A60" s="3" t="n">
        <v>59</v>
      </c>
      <c r="B60" s="4" t="s">
        <v>185</v>
      </c>
      <c r="C60" s="5" t="s">
        <v>13</v>
      </c>
      <c r="D60" s="3" t="s">
        <v>88</v>
      </c>
      <c r="E60" s="3" t="n">
        <v>38000</v>
      </c>
      <c r="F60" s="3" t="s">
        <v>186</v>
      </c>
      <c r="G60" s="3" t="s">
        <v>187</v>
      </c>
    </row>
    <row r="61" customFormat="false" ht="15" hidden="false" customHeight="true" outlineLevel="0" collapsed="false">
      <c r="A61" s="6" t="n">
        <v>60</v>
      </c>
      <c r="B61" s="7" t="s">
        <v>188</v>
      </c>
      <c r="C61" s="8" t="s">
        <v>18</v>
      </c>
      <c r="D61" s="6" t="s">
        <v>189</v>
      </c>
      <c r="E61" s="6" t="n">
        <v>50000</v>
      </c>
      <c r="F61" s="6" t="s">
        <v>186</v>
      </c>
      <c r="G61" s="6" t="s">
        <v>190</v>
      </c>
    </row>
    <row r="62" customFormat="false" ht="15" hidden="false" customHeight="true" outlineLevel="0" collapsed="false">
      <c r="A62" s="3" t="n">
        <v>61</v>
      </c>
      <c r="B62" s="4" t="s">
        <v>191</v>
      </c>
      <c r="C62" s="5" t="s">
        <v>18</v>
      </c>
      <c r="D62" s="3" t="s">
        <v>192</v>
      </c>
      <c r="E62" s="3" t="n">
        <v>198000</v>
      </c>
      <c r="F62" s="3" t="s">
        <v>186</v>
      </c>
      <c r="G62" s="3" t="s">
        <v>193</v>
      </c>
    </row>
    <row r="63" customFormat="false" ht="15" hidden="false" customHeight="true" outlineLevel="0" collapsed="false">
      <c r="A63" s="6" t="n">
        <v>62</v>
      </c>
      <c r="B63" s="7" t="s">
        <v>194</v>
      </c>
      <c r="C63" s="8" t="s">
        <v>13</v>
      </c>
      <c r="D63" s="6" t="s">
        <v>88</v>
      </c>
      <c r="E63" s="6" t="n">
        <v>38000</v>
      </c>
      <c r="F63" s="6" t="s">
        <v>186</v>
      </c>
      <c r="G63" s="6" t="s">
        <v>195</v>
      </c>
    </row>
    <row r="64" customFormat="false" ht="15" hidden="false" customHeight="true" outlineLevel="0" collapsed="false">
      <c r="A64" s="3" t="n">
        <v>63</v>
      </c>
      <c r="B64" s="4" t="s">
        <v>196</v>
      </c>
      <c r="C64" s="5" t="s">
        <v>13</v>
      </c>
      <c r="D64" s="3" t="s">
        <v>197</v>
      </c>
      <c r="E64" s="3" t="n">
        <v>30000</v>
      </c>
      <c r="F64" s="3" t="s">
        <v>186</v>
      </c>
      <c r="G64" s="3" t="s">
        <v>198</v>
      </c>
    </row>
    <row r="65" customFormat="false" ht="15" hidden="false" customHeight="true" outlineLevel="0" collapsed="false">
      <c r="A65" s="6" t="n">
        <v>64</v>
      </c>
      <c r="B65" s="7" t="s">
        <v>199</v>
      </c>
      <c r="C65" s="8" t="s">
        <v>200</v>
      </c>
      <c r="D65" s="6" t="s">
        <v>30</v>
      </c>
      <c r="E65" s="6" t="n">
        <v>17000</v>
      </c>
      <c r="F65" s="6" t="s">
        <v>186</v>
      </c>
      <c r="G65" s="6" t="s">
        <v>201</v>
      </c>
    </row>
    <row r="66" customFormat="false" ht="15" hidden="false" customHeight="true" outlineLevel="0" collapsed="false">
      <c r="A66" s="3" t="n">
        <v>65</v>
      </c>
      <c r="B66" s="4" t="s">
        <v>202</v>
      </c>
      <c r="C66" s="5" t="s">
        <v>13</v>
      </c>
      <c r="D66" s="3" t="s">
        <v>203</v>
      </c>
      <c r="E66" s="3" t="n">
        <v>53000</v>
      </c>
      <c r="F66" s="3" t="s">
        <v>186</v>
      </c>
      <c r="G66" s="3" t="s">
        <v>204</v>
      </c>
    </row>
    <row r="67" customFormat="false" ht="15" hidden="false" customHeight="true" outlineLevel="0" collapsed="false">
      <c r="A67" s="6" t="n">
        <v>66</v>
      </c>
      <c r="B67" s="7" t="s">
        <v>205</v>
      </c>
      <c r="C67" s="8" t="s">
        <v>29</v>
      </c>
      <c r="D67" s="6" t="s">
        <v>206</v>
      </c>
      <c r="E67" s="6" t="n">
        <v>16000</v>
      </c>
      <c r="F67" s="6" t="s">
        <v>186</v>
      </c>
      <c r="G67" s="6" t="s">
        <v>207</v>
      </c>
    </row>
    <row r="68" customFormat="false" ht="15" hidden="false" customHeight="true" outlineLevel="0" collapsed="false">
      <c r="A68" s="3" t="n">
        <v>67</v>
      </c>
      <c r="B68" s="4" t="s">
        <v>208</v>
      </c>
      <c r="C68" s="5" t="s">
        <v>29</v>
      </c>
      <c r="D68" s="3" t="s">
        <v>209</v>
      </c>
      <c r="E68" s="3" t="n">
        <v>42000</v>
      </c>
      <c r="F68" s="3" t="s">
        <v>186</v>
      </c>
      <c r="G68" s="3" t="s">
        <v>210</v>
      </c>
    </row>
    <row r="69" customFormat="false" ht="15" hidden="false" customHeight="true" outlineLevel="0" collapsed="false">
      <c r="A69" s="6" t="n">
        <v>68</v>
      </c>
      <c r="B69" s="7" t="s">
        <v>211</v>
      </c>
      <c r="C69" s="8" t="s">
        <v>34</v>
      </c>
      <c r="D69" s="6" t="s">
        <v>74</v>
      </c>
      <c r="E69" s="6" t="n">
        <v>31000</v>
      </c>
      <c r="F69" s="6" t="s">
        <v>186</v>
      </c>
      <c r="G69" s="6" t="s">
        <v>212</v>
      </c>
    </row>
    <row r="70" customFormat="false" ht="15" hidden="false" customHeight="true" outlineLevel="0" collapsed="false">
      <c r="A70" s="3" t="n">
        <v>69</v>
      </c>
      <c r="B70" s="4" t="s">
        <v>213</v>
      </c>
      <c r="C70" s="5" t="s">
        <v>34</v>
      </c>
      <c r="D70" s="3" t="s">
        <v>74</v>
      </c>
      <c r="E70" s="3" t="n">
        <v>31000</v>
      </c>
      <c r="F70" s="3" t="s">
        <v>186</v>
      </c>
      <c r="G70" s="3" t="s">
        <v>214</v>
      </c>
    </row>
    <row r="71" customFormat="false" ht="15" hidden="false" customHeight="true" outlineLevel="0" collapsed="false">
      <c r="A71" s="6" t="n">
        <v>70</v>
      </c>
      <c r="B71" s="7" t="s">
        <v>215</v>
      </c>
      <c r="C71" s="8" t="s">
        <v>34</v>
      </c>
      <c r="D71" s="6" t="s">
        <v>216</v>
      </c>
      <c r="E71" s="6" t="n">
        <v>64000</v>
      </c>
      <c r="F71" s="6" t="s">
        <v>186</v>
      </c>
      <c r="G71" s="6" t="s">
        <v>217</v>
      </c>
    </row>
    <row r="72" customFormat="false" ht="15" hidden="false" customHeight="true" outlineLevel="0" collapsed="false">
      <c r="A72" s="3" t="n">
        <v>71</v>
      </c>
      <c r="B72" s="4" t="s">
        <v>218</v>
      </c>
      <c r="C72" s="5" t="s">
        <v>13</v>
      </c>
      <c r="D72" s="3" t="s">
        <v>219</v>
      </c>
      <c r="E72" s="3" t="n">
        <v>101000</v>
      </c>
      <c r="F72" s="3" t="s">
        <v>186</v>
      </c>
      <c r="G72" s="3" t="s">
        <v>220</v>
      </c>
    </row>
    <row r="73" customFormat="false" ht="15" hidden="false" customHeight="true" outlineLevel="0" collapsed="false">
      <c r="A73" s="6" t="n">
        <v>72</v>
      </c>
      <c r="B73" s="7" t="s">
        <v>221</v>
      </c>
      <c r="C73" s="8" t="s">
        <v>18</v>
      </c>
      <c r="D73" s="6" t="s">
        <v>222</v>
      </c>
      <c r="E73" s="6" t="n">
        <v>169000</v>
      </c>
      <c r="F73" s="6" t="s">
        <v>186</v>
      </c>
      <c r="G73" s="6" t="s">
        <v>223</v>
      </c>
    </row>
    <row r="74" customFormat="false" ht="15" hidden="false" customHeight="true" outlineLevel="0" collapsed="false">
      <c r="A74" s="3" t="n">
        <v>73</v>
      </c>
      <c r="B74" s="4" t="s">
        <v>224</v>
      </c>
      <c r="C74" s="5" t="s">
        <v>34</v>
      </c>
      <c r="D74" s="3" t="s">
        <v>51</v>
      </c>
      <c r="E74" s="3" t="n">
        <v>15000</v>
      </c>
      <c r="F74" s="3" t="s">
        <v>186</v>
      </c>
      <c r="G74" s="3" t="s">
        <v>225</v>
      </c>
    </row>
    <row r="75" customFormat="false" ht="15" hidden="false" customHeight="true" outlineLevel="0" collapsed="false">
      <c r="A75" s="6" t="n">
        <v>74</v>
      </c>
      <c r="B75" s="7" t="s">
        <v>226</v>
      </c>
      <c r="C75" s="8" t="s">
        <v>13</v>
      </c>
      <c r="D75" s="6" t="s">
        <v>206</v>
      </c>
      <c r="E75" s="6" t="n">
        <v>16000</v>
      </c>
      <c r="F75" s="6" t="s">
        <v>186</v>
      </c>
      <c r="G75" s="6" t="s">
        <v>227</v>
      </c>
    </row>
    <row r="76" customFormat="false" ht="15" hidden="false" customHeight="true" outlineLevel="0" collapsed="false">
      <c r="A76" s="3" t="n">
        <v>75</v>
      </c>
      <c r="B76" s="4" t="s">
        <v>228</v>
      </c>
      <c r="C76" s="5" t="s">
        <v>81</v>
      </c>
      <c r="D76" s="3" t="s">
        <v>229</v>
      </c>
      <c r="E76" s="3" t="n">
        <v>4600</v>
      </c>
      <c r="F76" s="3" t="s">
        <v>186</v>
      </c>
      <c r="G76" s="3" t="s">
        <v>230</v>
      </c>
    </row>
    <row r="77" customFormat="false" ht="15" hidden="false" customHeight="true" outlineLevel="0" collapsed="false">
      <c r="A77" s="6" t="n">
        <v>76</v>
      </c>
      <c r="B77" s="7" t="s">
        <v>231</v>
      </c>
      <c r="C77" s="8" t="s">
        <v>34</v>
      </c>
      <c r="D77" s="6" t="s">
        <v>232</v>
      </c>
      <c r="E77" s="6" t="n">
        <v>49000</v>
      </c>
      <c r="F77" s="6" t="s">
        <v>186</v>
      </c>
      <c r="G77" s="6" t="s">
        <v>233</v>
      </c>
    </row>
    <row r="78" customFormat="false" ht="15" hidden="false" customHeight="true" outlineLevel="0" collapsed="false">
      <c r="A78" s="3" t="n">
        <v>77</v>
      </c>
      <c r="B78" s="4" t="s">
        <v>234</v>
      </c>
      <c r="C78" s="5" t="s">
        <v>81</v>
      </c>
      <c r="D78" s="3" t="s">
        <v>51</v>
      </c>
      <c r="E78" s="3" t="n">
        <v>15000</v>
      </c>
      <c r="F78" s="3" t="s">
        <v>186</v>
      </c>
      <c r="G78" s="3" t="s">
        <v>235</v>
      </c>
    </row>
    <row r="79" customFormat="false" ht="15" hidden="false" customHeight="true" outlineLevel="0" collapsed="false">
      <c r="A79" s="6" t="n">
        <v>78</v>
      </c>
      <c r="B79" s="7" t="s">
        <v>236</v>
      </c>
      <c r="C79" s="8" t="s">
        <v>101</v>
      </c>
      <c r="D79" s="6" t="s">
        <v>237</v>
      </c>
      <c r="E79" s="6" t="n">
        <v>3100</v>
      </c>
      <c r="F79" s="6" t="s">
        <v>186</v>
      </c>
      <c r="G79" s="6" t="s">
        <v>238</v>
      </c>
    </row>
    <row r="80" customFormat="false" ht="23.25" hidden="false" customHeight="true" outlineLevel="0" collapsed="false">
      <c r="A80" s="3" t="n">
        <v>79</v>
      </c>
      <c r="B80" s="4" t="s">
        <v>239</v>
      </c>
      <c r="C80" s="5" t="s">
        <v>81</v>
      </c>
      <c r="D80" s="3" t="s">
        <v>240</v>
      </c>
      <c r="E80" s="3" t="n">
        <v>8400</v>
      </c>
      <c r="F80" s="3" t="s">
        <v>186</v>
      </c>
      <c r="G80" s="3" t="s">
        <v>241</v>
      </c>
    </row>
    <row r="81" customFormat="false" ht="15" hidden="false" customHeight="true" outlineLevel="0" collapsed="false">
      <c r="A81" s="6" t="n">
        <v>80</v>
      </c>
      <c r="B81" s="7" t="s">
        <v>242</v>
      </c>
      <c r="C81" s="8" t="s">
        <v>29</v>
      </c>
      <c r="D81" s="6" t="s">
        <v>108</v>
      </c>
      <c r="E81" s="6" t="n">
        <v>11000</v>
      </c>
      <c r="F81" s="6" t="s">
        <v>186</v>
      </c>
      <c r="G81" s="6" t="s">
        <v>243</v>
      </c>
    </row>
    <row r="82" customFormat="false" ht="15" hidden="false" customHeight="true" outlineLevel="0" collapsed="false">
      <c r="A82" s="3" t="n">
        <v>81</v>
      </c>
      <c r="B82" s="4" t="s">
        <v>244</v>
      </c>
      <c r="C82" s="5" t="s">
        <v>13</v>
      </c>
      <c r="D82" s="3" t="s">
        <v>240</v>
      </c>
      <c r="E82" s="3" t="n">
        <v>8400</v>
      </c>
      <c r="F82" s="3" t="s">
        <v>186</v>
      </c>
      <c r="G82" s="3" t="s">
        <v>245</v>
      </c>
    </row>
    <row r="83" customFormat="false" ht="15" hidden="false" customHeight="true" outlineLevel="0" collapsed="false">
      <c r="A83" s="6" t="n">
        <v>82</v>
      </c>
      <c r="B83" s="7" t="s">
        <v>246</v>
      </c>
      <c r="C83" s="8" t="s">
        <v>81</v>
      </c>
      <c r="D83" s="6" t="s">
        <v>14</v>
      </c>
      <c r="E83" s="6" t="n">
        <v>10000</v>
      </c>
      <c r="F83" s="6" t="s">
        <v>186</v>
      </c>
      <c r="G83" s="6" t="s">
        <v>247</v>
      </c>
    </row>
    <row r="84" customFormat="false" ht="15" hidden="false" customHeight="true" outlineLevel="0" collapsed="false">
      <c r="A84" s="3" t="n">
        <v>83</v>
      </c>
      <c r="B84" s="4" t="s">
        <v>248</v>
      </c>
      <c r="C84" s="5" t="s">
        <v>34</v>
      </c>
      <c r="D84" s="3" t="s">
        <v>14</v>
      </c>
      <c r="E84" s="3" t="n">
        <v>10000</v>
      </c>
      <c r="F84" s="3" t="s">
        <v>186</v>
      </c>
      <c r="G84" s="3" t="s">
        <v>249</v>
      </c>
    </row>
    <row r="85" customFormat="false" ht="15" hidden="false" customHeight="true" outlineLevel="0" collapsed="false">
      <c r="A85" s="6" t="n">
        <v>84</v>
      </c>
      <c r="B85" s="7" t="s">
        <v>250</v>
      </c>
      <c r="C85" s="8" t="s">
        <v>13</v>
      </c>
      <c r="D85" s="6" t="s">
        <v>206</v>
      </c>
      <c r="E85" s="6" t="n">
        <v>16000</v>
      </c>
      <c r="F85" s="6" t="s">
        <v>186</v>
      </c>
      <c r="G85" s="6" t="s">
        <v>251</v>
      </c>
    </row>
    <row r="86" customFormat="false" ht="15" hidden="false" customHeight="true" outlineLevel="0" collapsed="false">
      <c r="A86" s="3" t="n">
        <v>85</v>
      </c>
      <c r="B86" s="4" t="s">
        <v>252</v>
      </c>
      <c r="C86" s="5" t="s">
        <v>34</v>
      </c>
      <c r="D86" s="3" t="s">
        <v>136</v>
      </c>
      <c r="E86" s="3" t="n">
        <v>22000</v>
      </c>
      <c r="F86" s="3" t="s">
        <v>186</v>
      </c>
      <c r="G86" s="3" t="s">
        <v>253</v>
      </c>
    </row>
    <row r="87" customFormat="false" ht="15" hidden="false" customHeight="true" outlineLevel="0" collapsed="false">
      <c r="A87" s="6" t="n">
        <v>86</v>
      </c>
      <c r="B87" s="7" t="s">
        <v>254</v>
      </c>
      <c r="C87" s="8" t="s">
        <v>101</v>
      </c>
      <c r="D87" s="6" t="s">
        <v>19</v>
      </c>
      <c r="E87" s="6" t="n">
        <v>12000</v>
      </c>
      <c r="F87" s="6" t="s">
        <v>186</v>
      </c>
      <c r="G87" s="6" t="s">
        <v>255</v>
      </c>
    </row>
    <row r="88" customFormat="false" ht="15" hidden="false" customHeight="true" outlineLevel="0" collapsed="false">
      <c r="A88" s="3" t="n">
        <v>87</v>
      </c>
      <c r="B88" s="4" t="s">
        <v>256</v>
      </c>
      <c r="C88" s="5" t="s">
        <v>8</v>
      </c>
      <c r="D88" s="3" t="s">
        <v>44</v>
      </c>
      <c r="E88" s="3" t="n">
        <v>21000</v>
      </c>
      <c r="F88" s="3" t="s">
        <v>186</v>
      </c>
      <c r="G88" s="3" t="s">
        <v>257</v>
      </c>
    </row>
    <row r="89" customFormat="false" ht="15" hidden="false" customHeight="true" outlineLevel="0" collapsed="false">
      <c r="A89" s="6" t="n">
        <v>88</v>
      </c>
      <c r="B89" s="7" t="s">
        <v>258</v>
      </c>
      <c r="C89" s="8" t="s">
        <v>13</v>
      </c>
      <c r="D89" s="6" t="s">
        <v>206</v>
      </c>
      <c r="E89" s="6" t="n">
        <v>16000</v>
      </c>
      <c r="F89" s="6" t="s">
        <v>186</v>
      </c>
      <c r="G89" s="6" t="s">
        <v>259</v>
      </c>
    </row>
    <row r="90" customFormat="false" ht="15" hidden="false" customHeight="true" outlineLevel="0" collapsed="false">
      <c r="A90" s="3" t="n">
        <v>89</v>
      </c>
      <c r="B90" s="4" t="s">
        <v>260</v>
      </c>
      <c r="C90" s="5" t="s">
        <v>200</v>
      </c>
      <c r="D90" s="3" t="s">
        <v>261</v>
      </c>
      <c r="E90" s="3" t="n">
        <v>7500</v>
      </c>
      <c r="F90" s="3" t="s">
        <v>186</v>
      </c>
      <c r="G90" s="3" t="s">
        <v>262</v>
      </c>
    </row>
    <row r="91" customFormat="false" ht="15" hidden="false" customHeight="true" outlineLevel="0" collapsed="false">
      <c r="A91" s="6" t="n">
        <v>90</v>
      </c>
      <c r="B91" s="7" t="s">
        <v>263</v>
      </c>
      <c r="C91" s="8" t="s">
        <v>13</v>
      </c>
      <c r="D91" s="6" t="s">
        <v>206</v>
      </c>
      <c r="E91" s="6" t="n">
        <v>16000</v>
      </c>
      <c r="F91" s="6" t="s">
        <v>186</v>
      </c>
      <c r="G91" s="6" t="s">
        <v>264</v>
      </c>
    </row>
    <row r="92" customFormat="false" ht="15" hidden="false" customHeight="true" outlineLevel="0" collapsed="false">
      <c r="A92" s="9" t="n">
        <v>91</v>
      </c>
      <c r="B92" s="10" t="s">
        <v>265</v>
      </c>
      <c r="C92" s="11" t="s">
        <v>13</v>
      </c>
      <c r="D92" s="9" t="s">
        <v>266</v>
      </c>
      <c r="E92" s="9" t="n">
        <v>33000</v>
      </c>
      <c r="F92" s="9" t="s">
        <v>186</v>
      </c>
      <c r="G92" s="9" t="s">
        <v>267</v>
      </c>
    </row>
    <row r="93" customFormat="false" ht="15" hidden="false" customHeight="true" outlineLevel="0" collapsed="false">
      <c r="A93" s="12" t="n">
        <v>92</v>
      </c>
      <c r="B93" s="13" t="s">
        <v>268</v>
      </c>
      <c r="C93" s="14" t="s">
        <v>13</v>
      </c>
      <c r="D93" s="12" t="s">
        <v>39</v>
      </c>
      <c r="E93" s="12" t="n">
        <v>27000</v>
      </c>
      <c r="F93" s="12" t="s">
        <v>186</v>
      </c>
      <c r="G93" s="12" t="s">
        <v>269</v>
      </c>
    </row>
    <row r="94" customFormat="false" ht="15" hidden="false" customHeight="true" outlineLevel="0" collapsed="false">
      <c r="A94" s="9" t="n">
        <v>93</v>
      </c>
      <c r="B94" s="10" t="s">
        <v>270</v>
      </c>
      <c r="C94" s="11" t="s">
        <v>34</v>
      </c>
      <c r="D94" s="9" t="s">
        <v>163</v>
      </c>
      <c r="E94" s="9" t="n">
        <v>26000</v>
      </c>
      <c r="F94" s="9" t="s">
        <v>186</v>
      </c>
      <c r="G94" s="9" t="s">
        <v>271</v>
      </c>
    </row>
    <row r="95" customFormat="false" ht="15" hidden="false" customHeight="true" outlineLevel="0" collapsed="false">
      <c r="A95" s="12" t="n">
        <v>94</v>
      </c>
      <c r="B95" s="13" t="s">
        <v>272</v>
      </c>
      <c r="C95" s="14" t="s">
        <v>13</v>
      </c>
      <c r="D95" s="12" t="s">
        <v>136</v>
      </c>
      <c r="E95" s="12" t="n">
        <v>22000</v>
      </c>
      <c r="F95" s="12" t="s">
        <v>186</v>
      </c>
      <c r="G95" s="12" t="s">
        <v>273</v>
      </c>
    </row>
    <row r="96" customFormat="false" ht="15" hidden="false" customHeight="true" outlineLevel="0" collapsed="false">
      <c r="A96" s="9" t="n">
        <v>95</v>
      </c>
      <c r="B96" s="10" t="s">
        <v>274</v>
      </c>
      <c r="C96" s="11" t="s">
        <v>13</v>
      </c>
      <c r="D96" s="9" t="s">
        <v>30</v>
      </c>
      <c r="E96" s="9" t="n">
        <v>17000</v>
      </c>
      <c r="F96" s="9" t="s">
        <v>186</v>
      </c>
      <c r="G96" s="9" t="s">
        <v>275</v>
      </c>
    </row>
    <row r="97" customFormat="false" ht="15" hidden="false" customHeight="true" outlineLevel="0" collapsed="false">
      <c r="A97" s="12" t="n">
        <v>96</v>
      </c>
      <c r="B97" s="13" t="s">
        <v>276</v>
      </c>
      <c r="C97" s="14" t="s">
        <v>13</v>
      </c>
      <c r="D97" s="12" t="s">
        <v>277</v>
      </c>
      <c r="E97" s="12" t="n">
        <v>57000</v>
      </c>
      <c r="F97" s="12" t="s">
        <v>186</v>
      </c>
      <c r="G97" s="12" t="s">
        <v>278</v>
      </c>
    </row>
    <row r="98" customFormat="false" ht="15" hidden="false" customHeight="true" outlineLevel="0" collapsed="false">
      <c r="A98" s="9" t="n">
        <v>97</v>
      </c>
      <c r="B98" s="10" t="s">
        <v>279</v>
      </c>
      <c r="C98" s="11" t="s">
        <v>8</v>
      </c>
      <c r="D98" s="9" t="s">
        <v>280</v>
      </c>
      <c r="E98" s="9" t="n">
        <v>23000</v>
      </c>
      <c r="F98" s="9" t="s">
        <v>186</v>
      </c>
      <c r="G98" s="9" t="s">
        <v>281</v>
      </c>
    </row>
    <row r="99" customFormat="false" ht="15" hidden="false" customHeight="true" outlineLevel="0" collapsed="false">
      <c r="A99" s="12" t="n">
        <v>98</v>
      </c>
      <c r="B99" s="13" t="s">
        <v>282</v>
      </c>
      <c r="C99" s="14" t="s">
        <v>81</v>
      </c>
      <c r="D99" s="12" t="s">
        <v>283</v>
      </c>
      <c r="E99" s="12" t="n">
        <v>13000</v>
      </c>
      <c r="F99" s="12" t="s">
        <v>186</v>
      </c>
      <c r="G99" s="12" t="s">
        <v>284</v>
      </c>
    </row>
    <row r="100" customFormat="false" ht="15" hidden="false" customHeight="true" outlineLevel="0" collapsed="false">
      <c r="A100" s="9" t="n">
        <v>99</v>
      </c>
      <c r="B100" s="10" t="s">
        <v>285</v>
      </c>
      <c r="C100" s="11" t="s">
        <v>8</v>
      </c>
      <c r="D100" s="9" t="s">
        <v>283</v>
      </c>
      <c r="E100" s="9" t="n">
        <v>13000</v>
      </c>
      <c r="F100" s="9" t="s">
        <v>186</v>
      </c>
      <c r="G100" s="9" t="s">
        <v>273</v>
      </c>
    </row>
    <row r="101" customFormat="false" ht="15" hidden="false" customHeight="true" outlineLevel="0" collapsed="false">
      <c r="A101" s="12" t="n">
        <v>100</v>
      </c>
      <c r="B101" s="13" t="s">
        <v>286</v>
      </c>
      <c r="C101" s="14" t="s">
        <v>200</v>
      </c>
      <c r="D101" s="12" t="s">
        <v>287</v>
      </c>
      <c r="E101" s="12" t="n">
        <v>14000</v>
      </c>
      <c r="F101" s="12" t="s">
        <v>186</v>
      </c>
      <c r="G101" s="12" t="s">
        <v>62</v>
      </c>
    </row>
    <row r="102" customFormat="false" ht="15" hidden="false" customHeight="true" outlineLevel="0" collapsed="false">
      <c r="A102" s="9" t="n">
        <v>101</v>
      </c>
      <c r="B102" s="10" t="s">
        <v>288</v>
      </c>
      <c r="C102" s="11" t="s">
        <v>8</v>
      </c>
      <c r="D102" s="9" t="s">
        <v>175</v>
      </c>
      <c r="E102" s="9" t="n">
        <v>20000</v>
      </c>
      <c r="F102" s="9" t="s">
        <v>186</v>
      </c>
      <c r="G102" s="9" t="s">
        <v>289</v>
      </c>
    </row>
    <row r="103" customFormat="false" ht="15" hidden="false" customHeight="true" outlineLevel="0" collapsed="false">
      <c r="A103" s="12" t="n">
        <v>102</v>
      </c>
      <c r="B103" s="13" t="s">
        <v>290</v>
      </c>
      <c r="C103" s="14" t="s">
        <v>18</v>
      </c>
      <c r="D103" s="12" t="s">
        <v>108</v>
      </c>
      <c r="E103" s="12" t="n">
        <v>11000</v>
      </c>
      <c r="F103" s="12" t="s">
        <v>291</v>
      </c>
      <c r="G103" s="12" t="s">
        <v>292</v>
      </c>
    </row>
    <row r="104" customFormat="false" ht="15" hidden="false" customHeight="true" outlineLevel="0" collapsed="false">
      <c r="A104" s="9" t="n">
        <v>103</v>
      </c>
      <c r="B104" s="10" t="s">
        <v>293</v>
      </c>
      <c r="C104" s="11" t="s">
        <v>13</v>
      </c>
      <c r="D104" s="9" t="s">
        <v>14</v>
      </c>
      <c r="E104" s="9" t="n">
        <v>10000</v>
      </c>
      <c r="F104" s="9" t="s">
        <v>291</v>
      </c>
      <c r="G104" s="9" t="s">
        <v>241</v>
      </c>
    </row>
    <row r="105" customFormat="false" ht="15" hidden="false" customHeight="true" outlineLevel="0" collapsed="false">
      <c r="A105" s="12" t="n">
        <v>104</v>
      </c>
      <c r="B105" s="13" t="s">
        <v>294</v>
      </c>
      <c r="C105" s="14" t="s">
        <v>8</v>
      </c>
      <c r="D105" s="12" t="s">
        <v>283</v>
      </c>
      <c r="E105" s="12" t="n">
        <v>13000</v>
      </c>
      <c r="F105" s="12" t="s">
        <v>291</v>
      </c>
      <c r="G105" s="12" t="s">
        <v>295</v>
      </c>
    </row>
    <row r="106" customFormat="false" ht="15" hidden="false" customHeight="true" outlineLevel="0" collapsed="false">
      <c r="A106" s="9" t="n">
        <v>105</v>
      </c>
      <c r="B106" s="10" t="s">
        <v>296</v>
      </c>
      <c r="C106" s="11" t="s">
        <v>8</v>
      </c>
      <c r="D106" s="9" t="s">
        <v>283</v>
      </c>
      <c r="E106" s="9" t="n">
        <v>13000</v>
      </c>
      <c r="F106" s="9" t="s">
        <v>291</v>
      </c>
      <c r="G106" s="9" t="s">
        <v>297</v>
      </c>
    </row>
    <row r="107" customFormat="false" ht="15" hidden="false" customHeight="true" outlineLevel="0" collapsed="false">
      <c r="A107" s="12" t="n">
        <v>106</v>
      </c>
      <c r="B107" s="13" t="s">
        <v>298</v>
      </c>
      <c r="C107" s="14" t="s">
        <v>13</v>
      </c>
      <c r="D107" s="12" t="s">
        <v>206</v>
      </c>
      <c r="E107" s="12" t="n">
        <v>16000</v>
      </c>
      <c r="F107" s="12" t="s">
        <v>291</v>
      </c>
      <c r="G107" s="12" t="s">
        <v>299</v>
      </c>
    </row>
    <row r="108" customFormat="false" ht="15" hidden="false" customHeight="true" outlineLevel="0" collapsed="false">
      <c r="A108" s="9" t="n">
        <v>107</v>
      </c>
      <c r="B108" s="10" t="s">
        <v>300</v>
      </c>
      <c r="C108" s="11" t="s">
        <v>29</v>
      </c>
      <c r="D108" s="9" t="s">
        <v>120</v>
      </c>
      <c r="E108" s="9" t="n">
        <v>8900</v>
      </c>
      <c r="F108" s="9" t="s">
        <v>291</v>
      </c>
      <c r="G108" s="9" t="s">
        <v>118</v>
      </c>
    </row>
    <row r="109" customFormat="false" ht="15" hidden="false" customHeight="true" outlineLevel="0" collapsed="false">
      <c r="A109" s="12" t="n">
        <v>108</v>
      </c>
      <c r="B109" s="13" t="s">
        <v>301</v>
      </c>
      <c r="C109" s="14" t="s">
        <v>81</v>
      </c>
      <c r="D109" s="12" t="s">
        <v>302</v>
      </c>
      <c r="E109" s="12" t="n">
        <v>9900</v>
      </c>
      <c r="F109" s="12" t="s">
        <v>291</v>
      </c>
      <c r="G109" s="12" t="s">
        <v>303</v>
      </c>
    </row>
    <row r="110" customFormat="false" ht="15" hidden="false" customHeight="true" outlineLevel="0" collapsed="false">
      <c r="A110" s="9" t="n">
        <v>109</v>
      </c>
      <c r="B110" s="10" t="s">
        <v>304</v>
      </c>
      <c r="C110" s="11" t="s">
        <v>34</v>
      </c>
      <c r="D110" s="9" t="s">
        <v>261</v>
      </c>
      <c r="E110" s="9" t="n">
        <v>7500</v>
      </c>
      <c r="F110" s="9" t="s">
        <v>291</v>
      </c>
      <c r="G110" s="9" t="s">
        <v>305</v>
      </c>
    </row>
    <row r="111" customFormat="false" ht="15" hidden="false" customHeight="true" outlineLevel="0" collapsed="false">
      <c r="A111" s="12" t="n">
        <v>110</v>
      </c>
      <c r="B111" s="13" t="s">
        <v>306</v>
      </c>
      <c r="C111" s="14" t="s">
        <v>8</v>
      </c>
      <c r="D111" s="12" t="s">
        <v>307</v>
      </c>
      <c r="E111" s="12" t="n">
        <v>7900</v>
      </c>
      <c r="F111" s="12" t="s">
        <v>291</v>
      </c>
      <c r="G111" s="12" t="s">
        <v>308</v>
      </c>
    </row>
    <row r="112" customFormat="false" ht="15" hidden="false" customHeight="true" outlineLevel="0" collapsed="false">
      <c r="A112" s="9" t="n">
        <v>111</v>
      </c>
      <c r="B112" s="10" t="s">
        <v>309</v>
      </c>
      <c r="C112" s="11" t="s">
        <v>29</v>
      </c>
      <c r="D112" s="9" t="s">
        <v>30</v>
      </c>
      <c r="E112" s="9" t="n">
        <v>17000</v>
      </c>
      <c r="F112" s="9" t="s">
        <v>291</v>
      </c>
      <c r="G112" s="9" t="s">
        <v>310</v>
      </c>
    </row>
    <row r="113" customFormat="false" ht="15" hidden="false" customHeight="true" outlineLevel="0" collapsed="false">
      <c r="A113" s="12" t="n">
        <v>112</v>
      </c>
      <c r="B113" s="13" t="s">
        <v>311</v>
      </c>
      <c r="C113" s="14" t="s">
        <v>81</v>
      </c>
      <c r="D113" s="12" t="s">
        <v>54</v>
      </c>
      <c r="E113" s="12" t="n">
        <v>7100</v>
      </c>
      <c r="F113" s="12" t="s">
        <v>291</v>
      </c>
      <c r="G113" s="12" t="s">
        <v>312</v>
      </c>
    </row>
    <row r="114" customFormat="false" ht="15" hidden="false" customHeight="true" outlineLevel="0" collapsed="false">
      <c r="A114" s="9" t="n">
        <v>113</v>
      </c>
      <c r="B114" s="10" t="s">
        <v>313</v>
      </c>
      <c r="C114" s="11" t="s">
        <v>18</v>
      </c>
      <c r="D114" s="9" t="s">
        <v>112</v>
      </c>
      <c r="E114" s="9" t="n">
        <v>29000</v>
      </c>
      <c r="F114" s="9" t="s">
        <v>291</v>
      </c>
      <c r="G114" s="9" t="s">
        <v>314</v>
      </c>
    </row>
    <row r="115" customFormat="false" ht="15" hidden="false" customHeight="true" outlineLevel="0" collapsed="false">
      <c r="A115" s="12" t="n">
        <v>114</v>
      </c>
      <c r="B115" s="13" t="s">
        <v>315</v>
      </c>
      <c r="C115" s="14" t="s">
        <v>8</v>
      </c>
      <c r="D115" s="12" t="s">
        <v>316</v>
      </c>
      <c r="E115" s="12" t="n">
        <v>5900</v>
      </c>
      <c r="F115" s="12" t="s">
        <v>291</v>
      </c>
      <c r="G115" s="12" t="s">
        <v>317</v>
      </c>
    </row>
    <row r="116" customFormat="false" ht="15" hidden="false" customHeight="true" outlineLevel="0" collapsed="false">
      <c r="A116" s="9" t="n">
        <v>115</v>
      </c>
      <c r="B116" s="10" t="s">
        <v>318</v>
      </c>
      <c r="C116" s="11" t="s">
        <v>13</v>
      </c>
      <c r="D116" s="9" t="s">
        <v>51</v>
      </c>
      <c r="E116" s="9" t="n">
        <v>15000</v>
      </c>
      <c r="F116" s="9" t="s">
        <v>291</v>
      </c>
      <c r="G116" s="9" t="s">
        <v>319</v>
      </c>
    </row>
    <row r="117" customFormat="false" ht="15" hidden="false" customHeight="true" outlineLevel="0" collapsed="false">
      <c r="A117" s="12" t="n">
        <v>116</v>
      </c>
      <c r="B117" s="13" t="s">
        <v>320</v>
      </c>
      <c r="C117" s="14" t="s">
        <v>13</v>
      </c>
      <c r="D117" s="12" t="s">
        <v>26</v>
      </c>
      <c r="E117" s="12" t="n">
        <v>72000</v>
      </c>
      <c r="F117" s="12" t="s">
        <v>291</v>
      </c>
      <c r="G117" s="12" t="s">
        <v>321</v>
      </c>
    </row>
    <row r="118" customFormat="false" ht="15" hidden="false" customHeight="true" outlineLevel="0" collapsed="false">
      <c r="A118" s="9" t="n">
        <v>117</v>
      </c>
      <c r="B118" s="10" t="s">
        <v>322</v>
      </c>
      <c r="C118" s="11" t="s">
        <v>18</v>
      </c>
      <c r="D118" s="9" t="s">
        <v>95</v>
      </c>
      <c r="E118" s="9" t="n">
        <v>24000</v>
      </c>
      <c r="F118" s="9" t="s">
        <v>291</v>
      </c>
      <c r="G118" s="9" t="s">
        <v>323</v>
      </c>
    </row>
    <row r="119" customFormat="false" ht="15" hidden="false" customHeight="true" outlineLevel="0" collapsed="false">
      <c r="A119" s="12" t="n">
        <v>118</v>
      </c>
      <c r="B119" s="13" t="s">
        <v>324</v>
      </c>
      <c r="C119" s="14" t="s">
        <v>81</v>
      </c>
      <c r="D119" s="12" t="s">
        <v>325</v>
      </c>
      <c r="E119" s="12" t="n">
        <v>5300</v>
      </c>
      <c r="F119" s="12" t="s">
        <v>291</v>
      </c>
      <c r="G119" s="12" t="s">
        <v>326</v>
      </c>
    </row>
    <row r="120" customFormat="false" ht="15" hidden="false" customHeight="true" outlineLevel="0" collapsed="false">
      <c r="A120" s="9" t="n">
        <v>119</v>
      </c>
      <c r="B120" s="10" t="s">
        <v>327</v>
      </c>
      <c r="C120" s="11" t="s">
        <v>29</v>
      </c>
      <c r="D120" s="9" t="s">
        <v>283</v>
      </c>
      <c r="E120" s="9" t="n">
        <v>13000</v>
      </c>
      <c r="F120" s="9" t="s">
        <v>291</v>
      </c>
      <c r="G120" s="9" t="s">
        <v>328</v>
      </c>
    </row>
    <row r="121" customFormat="false" ht="15" hidden="false" customHeight="true" outlineLevel="0" collapsed="false">
      <c r="A121" s="12" t="n">
        <v>120</v>
      </c>
      <c r="B121" s="13" t="s">
        <v>329</v>
      </c>
      <c r="C121" s="14" t="s">
        <v>8</v>
      </c>
      <c r="D121" s="12" t="s">
        <v>19</v>
      </c>
      <c r="E121" s="12" t="n">
        <v>12000</v>
      </c>
      <c r="F121" s="12" t="s">
        <v>291</v>
      </c>
      <c r="G121" s="12" t="s">
        <v>330</v>
      </c>
    </row>
    <row r="122" customFormat="false" ht="15" hidden="false" customHeight="true" outlineLevel="0" collapsed="false">
      <c r="A122" s="9" t="n">
        <v>121</v>
      </c>
      <c r="B122" s="10" t="s">
        <v>331</v>
      </c>
      <c r="C122" s="11" t="s">
        <v>81</v>
      </c>
      <c r="D122" s="9" t="s">
        <v>287</v>
      </c>
      <c r="E122" s="9" t="n">
        <v>14000</v>
      </c>
      <c r="F122" s="9" t="s">
        <v>291</v>
      </c>
      <c r="G122" s="9" t="s">
        <v>332</v>
      </c>
    </row>
    <row r="123" customFormat="false" ht="15" hidden="false" customHeight="true" outlineLevel="0" collapsed="false">
      <c r="A123" s="12" t="n">
        <v>122</v>
      </c>
      <c r="B123" s="13" t="s">
        <v>333</v>
      </c>
      <c r="C123" s="14" t="s">
        <v>13</v>
      </c>
      <c r="D123" s="12" t="s">
        <v>78</v>
      </c>
      <c r="E123" s="12" t="n">
        <v>25000</v>
      </c>
      <c r="F123" s="12" t="s">
        <v>291</v>
      </c>
      <c r="G123" s="12" t="s">
        <v>334</v>
      </c>
    </row>
    <row r="124" customFormat="false" ht="15" hidden="false" customHeight="true" outlineLevel="0" collapsed="false">
      <c r="A124" s="9" t="n">
        <v>123</v>
      </c>
      <c r="B124" s="10" t="s">
        <v>335</v>
      </c>
      <c r="C124" s="11" t="s">
        <v>101</v>
      </c>
      <c r="D124" s="9" t="s">
        <v>68</v>
      </c>
      <c r="E124" s="9" t="n">
        <v>8000</v>
      </c>
      <c r="F124" s="9" t="s">
        <v>291</v>
      </c>
      <c r="G124" s="9" t="s">
        <v>336</v>
      </c>
    </row>
    <row r="125" customFormat="false" ht="15" hidden="false" customHeight="true" outlineLevel="0" collapsed="false">
      <c r="A125" s="12" t="n">
        <v>124</v>
      </c>
      <c r="B125" s="13" t="s">
        <v>337</v>
      </c>
      <c r="C125" s="14" t="s">
        <v>29</v>
      </c>
      <c r="D125" s="12" t="s">
        <v>64</v>
      </c>
      <c r="E125" s="12" t="n">
        <v>35000</v>
      </c>
      <c r="F125" s="12" t="s">
        <v>291</v>
      </c>
      <c r="G125" s="12" t="s">
        <v>323</v>
      </c>
    </row>
    <row r="126" customFormat="false" ht="15" hidden="false" customHeight="true" outlineLevel="0" collapsed="false">
      <c r="A126" s="9" t="n">
        <v>125</v>
      </c>
      <c r="B126" s="10" t="s">
        <v>338</v>
      </c>
      <c r="C126" s="11" t="s">
        <v>13</v>
      </c>
      <c r="D126" s="9" t="s">
        <v>108</v>
      </c>
      <c r="E126" s="9" t="n">
        <v>11000</v>
      </c>
      <c r="F126" s="9" t="s">
        <v>291</v>
      </c>
      <c r="G126" s="9" t="s">
        <v>339</v>
      </c>
    </row>
    <row r="127" customFormat="false" ht="15" hidden="false" customHeight="true" outlineLevel="0" collapsed="false">
      <c r="A127" s="12" t="n">
        <v>126</v>
      </c>
      <c r="B127" s="13" t="s">
        <v>340</v>
      </c>
      <c r="C127" s="14" t="s">
        <v>13</v>
      </c>
      <c r="D127" s="12" t="s">
        <v>341</v>
      </c>
      <c r="E127" s="12" t="n">
        <v>55000</v>
      </c>
      <c r="F127" s="12" t="s">
        <v>291</v>
      </c>
      <c r="G127" s="12" t="s">
        <v>342</v>
      </c>
    </row>
    <row r="128" customFormat="false" ht="15" hidden="false" customHeight="true" outlineLevel="0" collapsed="false">
      <c r="A128" s="9" t="n">
        <v>127</v>
      </c>
      <c r="B128" s="10" t="s">
        <v>343</v>
      </c>
      <c r="C128" s="11" t="s">
        <v>101</v>
      </c>
      <c r="D128" s="9" t="s">
        <v>344</v>
      </c>
      <c r="E128" s="9" t="n">
        <v>6900</v>
      </c>
      <c r="F128" s="9" t="s">
        <v>291</v>
      </c>
      <c r="G128" s="9" t="s">
        <v>345</v>
      </c>
    </row>
    <row r="129" customFormat="false" ht="15" hidden="false" customHeight="true" outlineLevel="0" collapsed="false">
      <c r="A129" s="12" t="n">
        <v>128</v>
      </c>
      <c r="B129" s="13" t="s">
        <v>346</v>
      </c>
      <c r="C129" s="14" t="s">
        <v>81</v>
      </c>
      <c r="D129" s="12" t="s">
        <v>136</v>
      </c>
      <c r="E129" s="12" t="n">
        <v>22000</v>
      </c>
      <c r="F129" s="12" t="s">
        <v>291</v>
      </c>
      <c r="G129" s="12" t="s">
        <v>347</v>
      </c>
    </row>
    <row r="130" customFormat="false" ht="15" hidden="false" customHeight="true" outlineLevel="0" collapsed="false">
      <c r="A130" s="9" t="n">
        <v>129</v>
      </c>
      <c r="B130" s="10" t="s">
        <v>348</v>
      </c>
      <c r="C130" s="11" t="s">
        <v>29</v>
      </c>
      <c r="D130" s="9" t="s">
        <v>23</v>
      </c>
      <c r="E130" s="9" t="n">
        <v>6800</v>
      </c>
      <c r="F130" s="9" t="s">
        <v>291</v>
      </c>
      <c r="G130" s="9" t="s">
        <v>42</v>
      </c>
    </row>
    <row r="131" customFormat="false" ht="15" hidden="false" customHeight="true" outlineLevel="0" collapsed="false">
      <c r="A131" s="12" t="n">
        <v>130</v>
      </c>
      <c r="B131" s="13" t="s">
        <v>349</v>
      </c>
      <c r="C131" s="14" t="s">
        <v>84</v>
      </c>
      <c r="D131" s="12" t="s">
        <v>68</v>
      </c>
      <c r="E131" s="12" t="n">
        <v>8000</v>
      </c>
      <c r="F131" s="12" t="s">
        <v>291</v>
      </c>
      <c r="G131" s="12" t="s">
        <v>243</v>
      </c>
    </row>
    <row r="132" customFormat="false" ht="15" hidden="false" customHeight="true" outlineLevel="0" collapsed="false">
      <c r="A132" s="9" t="n">
        <v>131</v>
      </c>
      <c r="B132" s="10" t="s">
        <v>350</v>
      </c>
      <c r="C132" s="11" t="s">
        <v>81</v>
      </c>
      <c r="D132" s="9" t="s">
        <v>302</v>
      </c>
      <c r="E132" s="9" t="n">
        <v>9900</v>
      </c>
      <c r="F132" s="9" t="s">
        <v>291</v>
      </c>
      <c r="G132" s="9" t="s">
        <v>351</v>
      </c>
    </row>
    <row r="133" customFormat="false" ht="15" hidden="false" customHeight="true" outlineLevel="0" collapsed="false">
      <c r="A133" s="12" t="n">
        <v>132</v>
      </c>
      <c r="B133" s="13" t="s">
        <v>352</v>
      </c>
      <c r="C133" s="14" t="s">
        <v>34</v>
      </c>
      <c r="D133" s="12" t="s">
        <v>112</v>
      </c>
      <c r="E133" s="12" t="n">
        <v>29000</v>
      </c>
      <c r="F133" s="12" t="s">
        <v>291</v>
      </c>
      <c r="G133" s="12" t="s">
        <v>289</v>
      </c>
    </row>
    <row r="134" customFormat="false" ht="15" hidden="false" customHeight="true" outlineLevel="0" collapsed="false">
      <c r="A134" s="9" t="n">
        <v>133</v>
      </c>
      <c r="B134" s="10" t="s">
        <v>353</v>
      </c>
      <c r="C134" s="11" t="s">
        <v>13</v>
      </c>
      <c r="D134" s="9" t="s">
        <v>30</v>
      </c>
      <c r="E134" s="9" t="n">
        <v>17000</v>
      </c>
      <c r="F134" s="9" t="s">
        <v>291</v>
      </c>
      <c r="G134" s="9" t="s">
        <v>354</v>
      </c>
    </row>
    <row r="135" customFormat="false" ht="15" hidden="false" customHeight="true" outlineLevel="0" collapsed="false">
      <c r="A135" s="12" t="n">
        <v>134</v>
      </c>
      <c r="B135" s="13" t="s">
        <v>355</v>
      </c>
      <c r="C135" s="14" t="s">
        <v>81</v>
      </c>
      <c r="D135" s="12" t="s">
        <v>14</v>
      </c>
      <c r="E135" s="12" t="n">
        <v>10000</v>
      </c>
      <c r="F135" s="12" t="s">
        <v>291</v>
      </c>
      <c r="G135" s="12" t="s">
        <v>356</v>
      </c>
    </row>
    <row r="136" customFormat="false" ht="15" hidden="false" customHeight="true" outlineLevel="0" collapsed="false">
      <c r="A136" s="9" t="n">
        <v>135</v>
      </c>
      <c r="B136" s="10" t="s">
        <v>357</v>
      </c>
      <c r="C136" s="11" t="s">
        <v>13</v>
      </c>
      <c r="D136" s="9" t="s">
        <v>30</v>
      </c>
      <c r="E136" s="9" t="n">
        <v>17000</v>
      </c>
      <c r="F136" s="9" t="s">
        <v>291</v>
      </c>
      <c r="G136" s="9" t="s">
        <v>358</v>
      </c>
    </row>
    <row r="137" customFormat="false" ht="15" hidden="false" customHeight="true" outlineLevel="0" collapsed="false">
      <c r="A137" s="12" t="n">
        <v>136</v>
      </c>
      <c r="B137" s="13" t="s">
        <v>359</v>
      </c>
      <c r="C137" s="14" t="s">
        <v>81</v>
      </c>
      <c r="D137" s="12" t="s">
        <v>360</v>
      </c>
      <c r="E137" s="12" t="n">
        <v>5700</v>
      </c>
      <c r="F137" s="12" t="s">
        <v>291</v>
      </c>
      <c r="G137" s="12" t="s">
        <v>129</v>
      </c>
    </row>
    <row r="138" customFormat="false" ht="15" hidden="false" customHeight="true" outlineLevel="0" collapsed="false">
      <c r="A138" s="9" t="n">
        <v>137</v>
      </c>
      <c r="B138" s="10" t="s">
        <v>361</v>
      </c>
      <c r="C138" s="11" t="s">
        <v>101</v>
      </c>
      <c r="D138" s="9" t="s">
        <v>197</v>
      </c>
      <c r="E138" s="9" t="n">
        <v>30000</v>
      </c>
      <c r="F138" s="9" t="s">
        <v>291</v>
      </c>
      <c r="G138" s="9" t="s">
        <v>362</v>
      </c>
    </row>
    <row r="139" customFormat="false" ht="15" hidden="false" customHeight="true" outlineLevel="0" collapsed="false">
      <c r="A139" s="12" t="n">
        <v>138</v>
      </c>
      <c r="B139" s="13" t="s">
        <v>363</v>
      </c>
      <c r="C139" s="14" t="s">
        <v>13</v>
      </c>
      <c r="D139" s="12" t="s">
        <v>30</v>
      </c>
      <c r="E139" s="12" t="n">
        <v>17000</v>
      </c>
      <c r="F139" s="12" t="s">
        <v>291</v>
      </c>
      <c r="G139" s="12" t="s">
        <v>364</v>
      </c>
    </row>
    <row r="140" customFormat="false" ht="15" hidden="false" customHeight="true" outlineLevel="0" collapsed="false">
      <c r="A140" s="9" t="n">
        <v>139</v>
      </c>
      <c r="B140" s="10" t="s">
        <v>365</v>
      </c>
      <c r="C140" s="11" t="s">
        <v>13</v>
      </c>
      <c r="D140" s="9" t="s">
        <v>366</v>
      </c>
      <c r="E140" s="9" t="n">
        <v>8100</v>
      </c>
      <c r="F140" s="9" t="s">
        <v>291</v>
      </c>
      <c r="G140" s="9" t="s">
        <v>367</v>
      </c>
    </row>
    <row r="141" customFormat="false" ht="15" hidden="false" customHeight="true" outlineLevel="0" collapsed="false">
      <c r="A141" s="12" t="n">
        <v>140</v>
      </c>
      <c r="B141" s="13" t="s">
        <v>368</v>
      </c>
      <c r="C141" s="14" t="s">
        <v>8</v>
      </c>
      <c r="D141" s="12" t="s">
        <v>19</v>
      </c>
      <c r="E141" s="12" t="n">
        <v>12000</v>
      </c>
      <c r="F141" s="12" t="s">
        <v>291</v>
      </c>
      <c r="G141" s="12" t="s">
        <v>369</v>
      </c>
    </row>
    <row r="142" customFormat="false" ht="15" hidden="false" customHeight="true" outlineLevel="0" collapsed="false">
      <c r="A142" s="9" t="n">
        <v>141</v>
      </c>
      <c r="B142" s="10" t="s">
        <v>370</v>
      </c>
      <c r="C142" s="11" t="s">
        <v>81</v>
      </c>
      <c r="D142" s="9" t="s">
        <v>14</v>
      </c>
      <c r="E142" s="9" t="n">
        <v>10000</v>
      </c>
      <c r="F142" s="9" t="s">
        <v>291</v>
      </c>
      <c r="G142" s="9" t="s">
        <v>371</v>
      </c>
    </row>
    <row r="143" customFormat="false" ht="15" hidden="false" customHeight="true" outlineLevel="0" collapsed="false">
      <c r="A143" s="12" t="n">
        <v>142</v>
      </c>
      <c r="B143" s="13" t="s">
        <v>372</v>
      </c>
      <c r="C143" s="14" t="s">
        <v>18</v>
      </c>
      <c r="D143" s="12" t="s">
        <v>373</v>
      </c>
      <c r="E143" s="12" t="n">
        <v>8300</v>
      </c>
      <c r="F143" s="12" t="s">
        <v>291</v>
      </c>
      <c r="G143" s="12" t="s">
        <v>374</v>
      </c>
    </row>
    <row r="144" customFormat="false" ht="15" hidden="false" customHeight="true" outlineLevel="0" collapsed="false">
      <c r="A144" s="9" t="n">
        <v>143</v>
      </c>
      <c r="B144" s="10" t="s">
        <v>375</v>
      </c>
      <c r="C144" s="11" t="s">
        <v>8</v>
      </c>
      <c r="D144" s="9" t="s">
        <v>19</v>
      </c>
      <c r="E144" s="9" t="n">
        <v>12000</v>
      </c>
      <c r="F144" s="9" t="s">
        <v>291</v>
      </c>
      <c r="G144" s="9" t="s">
        <v>369</v>
      </c>
    </row>
    <row r="145" customFormat="false" ht="15" hidden="false" customHeight="true" outlineLevel="0" collapsed="false">
      <c r="A145" s="12" t="n">
        <v>144</v>
      </c>
      <c r="B145" s="13" t="s">
        <v>376</v>
      </c>
      <c r="C145" s="14" t="s">
        <v>81</v>
      </c>
      <c r="D145" s="12" t="s">
        <v>131</v>
      </c>
      <c r="E145" s="12" t="n">
        <v>6100</v>
      </c>
      <c r="F145" s="12" t="s">
        <v>291</v>
      </c>
      <c r="G145" s="12" t="s">
        <v>377</v>
      </c>
    </row>
    <row r="146" customFormat="false" ht="15" hidden="false" customHeight="true" outlineLevel="0" collapsed="false">
      <c r="A146" s="9" t="n">
        <v>145</v>
      </c>
      <c r="B146" s="10" t="s">
        <v>378</v>
      </c>
      <c r="C146" s="11" t="s">
        <v>34</v>
      </c>
      <c r="D146" s="9" t="s">
        <v>379</v>
      </c>
      <c r="E146" s="9" t="n">
        <v>83000</v>
      </c>
      <c r="F146" s="9" t="s">
        <v>291</v>
      </c>
      <c r="G146" s="9" t="s">
        <v>380</v>
      </c>
    </row>
    <row r="147" customFormat="false" ht="15" hidden="false" customHeight="true" outlineLevel="0" collapsed="false">
      <c r="A147" s="12" t="n">
        <v>146</v>
      </c>
      <c r="B147" s="13" t="s">
        <v>381</v>
      </c>
      <c r="C147" s="14" t="s">
        <v>13</v>
      </c>
      <c r="D147" s="12" t="s">
        <v>206</v>
      </c>
      <c r="E147" s="12" t="n">
        <v>16000</v>
      </c>
      <c r="F147" s="12" t="s">
        <v>291</v>
      </c>
      <c r="G147" s="12" t="s">
        <v>371</v>
      </c>
    </row>
    <row r="148" customFormat="false" ht="15" hidden="false" customHeight="true" outlineLevel="0" collapsed="false">
      <c r="A148" s="9" t="n">
        <v>147</v>
      </c>
      <c r="B148" s="10" t="s">
        <v>382</v>
      </c>
      <c r="C148" s="11" t="s">
        <v>29</v>
      </c>
      <c r="D148" s="9" t="s">
        <v>14</v>
      </c>
      <c r="E148" s="9" t="n">
        <v>10000</v>
      </c>
      <c r="F148" s="9" t="s">
        <v>383</v>
      </c>
      <c r="G148" s="9" t="s">
        <v>384</v>
      </c>
    </row>
    <row r="149" customFormat="false" ht="15" hidden="false" customHeight="true" outlineLevel="0" collapsed="false">
      <c r="A149" s="12" t="n">
        <v>148</v>
      </c>
      <c r="B149" s="13" t="s">
        <v>385</v>
      </c>
      <c r="C149" s="14" t="s">
        <v>8</v>
      </c>
      <c r="D149" s="12" t="s">
        <v>19</v>
      </c>
      <c r="E149" s="12" t="n">
        <v>12000</v>
      </c>
      <c r="F149" s="12" t="s">
        <v>383</v>
      </c>
      <c r="G149" s="12" t="s">
        <v>137</v>
      </c>
    </row>
    <row r="150" customFormat="false" ht="15" hidden="false" customHeight="true" outlineLevel="0" collapsed="false">
      <c r="A150" s="9" t="n">
        <v>149</v>
      </c>
      <c r="B150" s="10" t="s">
        <v>386</v>
      </c>
      <c r="C150" s="11" t="s">
        <v>13</v>
      </c>
      <c r="D150" s="9" t="s">
        <v>387</v>
      </c>
      <c r="E150" s="9" t="n">
        <v>47000</v>
      </c>
      <c r="F150" s="9" t="s">
        <v>383</v>
      </c>
      <c r="G150" s="9" t="s">
        <v>388</v>
      </c>
    </row>
    <row r="151" customFormat="false" ht="15" hidden="false" customHeight="true" outlineLevel="0" collapsed="false">
      <c r="A151" s="12" t="n">
        <v>150</v>
      </c>
      <c r="B151" s="13" t="s">
        <v>389</v>
      </c>
      <c r="C151" s="14" t="s">
        <v>81</v>
      </c>
      <c r="D151" s="12" t="s">
        <v>14</v>
      </c>
      <c r="E151" s="12" t="n">
        <v>10000</v>
      </c>
      <c r="F151" s="12" t="s">
        <v>383</v>
      </c>
      <c r="G151" s="12" t="s">
        <v>390</v>
      </c>
    </row>
    <row r="152" customFormat="false" ht="15" hidden="false" customHeight="true" outlineLevel="0" collapsed="false">
      <c r="A152" s="9" t="n">
        <v>151</v>
      </c>
      <c r="B152" s="10" t="s">
        <v>391</v>
      </c>
      <c r="C152" s="11" t="s">
        <v>81</v>
      </c>
      <c r="D152" s="9" t="s">
        <v>392</v>
      </c>
      <c r="E152" s="9" t="n">
        <v>46000</v>
      </c>
      <c r="F152" s="9" t="s">
        <v>383</v>
      </c>
      <c r="G152" s="9" t="s">
        <v>393</v>
      </c>
    </row>
    <row r="153" customFormat="false" ht="15" hidden="false" customHeight="true" outlineLevel="0" collapsed="false">
      <c r="A153" s="12" t="n">
        <v>152</v>
      </c>
      <c r="B153" s="13" t="s">
        <v>394</v>
      </c>
      <c r="C153" s="14" t="s">
        <v>8</v>
      </c>
      <c r="D153" s="12" t="s">
        <v>19</v>
      </c>
      <c r="E153" s="12" t="n">
        <v>12000</v>
      </c>
      <c r="F153" s="12" t="s">
        <v>383</v>
      </c>
      <c r="G153" s="12" t="s">
        <v>395</v>
      </c>
    </row>
    <row r="154" customFormat="false" ht="15" hidden="false" customHeight="true" outlineLevel="0" collapsed="false">
      <c r="A154" s="9" t="n">
        <v>153</v>
      </c>
      <c r="B154" s="10" t="s">
        <v>396</v>
      </c>
      <c r="C154" s="11" t="s">
        <v>8</v>
      </c>
      <c r="D154" s="9" t="s">
        <v>283</v>
      </c>
      <c r="E154" s="9" t="n">
        <v>13000</v>
      </c>
      <c r="F154" s="9" t="s">
        <v>383</v>
      </c>
      <c r="G154" s="9" t="s">
        <v>397</v>
      </c>
    </row>
    <row r="155" customFormat="false" ht="15" hidden="false" customHeight="true" outlineLevel="0" collapsed="false">
      <c r="A155" s="12" t="n">
        <v>154</v>
      </c>
      <c r="B155" s="13" t="s">
        <v>398</v>
      </c>
      <c r="C155" s="14" t="s">
        <v>8</v>
      </c>
      <c r="D155" s="12" t="s">
        <v>88</v>
      </c>
      <c r="E155" s="12" t="n">
        <v>38000</v>
      </c>
      <c r="F155" s="12" t="s">
        <v>383</v>
      </c>
      <c r="G155" s="12" t="s">
        <v>204</v>
      </c>
    </row>
    <row r="156" customFormat="false" ht="15" hidden="false" customHeight="true" outlineLevel="0" collapsed="false">
      <c r="A156" s="9" t="n">
        <v>155</v>
      </c>
      <c r="B156" s="10" t="s">
        <v>399</v>
      </c>
      <c r="C156" s="11" t="s">
        <v>13</v>
      </c>
      <c r="D156" s="9" t="s">
        <v>39</v>
      </c>
      <c r="E156" s="9" t="n">
        <v>27000</v>
      </c>
      <c r="F156" s="9" t="s">
        <v>383</v>
      </c>
      <c r="G156" s="9" t="s">
        <v>400</v>
      </c>
    </row>
    <row r="157" customFormat="false" ht="15" hidden="false" customHeight="true" outlineLevel="0" collapsed="false">
      <c r="A157" s="12" t="n">
        <v>156</v>
      </c>
      <c r="B157" s="13" t="s">
        <v>401</v>
      </c>
      <c r="C157" s="14" t="s">
        <v>81</v>
      </c>
      <c r="D157" s="12" t="s">
        <v>402</v>
      </c>
      <c r="E157" s="12" t="n">
        <v>6200</v>
      </c>
      <c r="F157" s="12" t="s">
        <v>383</v>
      </c>
      <c r="G157" s="12" t="s">
        <v>403</v>
      </c>
    </row>
    <row r="158" customFormat="false" ht="15" hidden="false" customHeight="true" outlineLevel="0" collapsed="false">
      <c r="A158" s="9" t="n">
        <v>157</v>
      </c>
      <c r="B158" s="10" t="s">
        <v>404</v>
      </c>
      <c r="C158" s="11" t="s">
        <v>81</v>
      </c>
      <c r="D158" s="9" t="s">
        <v>405</v>
      </c>
      <c r="E158" s="9" t="n">
        <v>6000</v>
      </c>
      <c r="F158" s="9" t="s">
        <v>383</v>
      </c>
      <c r="G158" s="9" t="s">
        <v>281</v>
      </c>
    </row>
    <row r="159" customFormat="false" ht="15" hidden="false" customHeight="true" outlineLevel="0" collapsed="false">
      <c r="A159" s="12" t="n">
        <v>158</v>
      </c>
      <c r="B159" s="13" t="s">
        <v>406</v>
      </c>
      <c r="C159" s="14" t="s">
        <v>13</v>
      </c>
      <c r="D159" s="12" t="s">
        <v>74</v>
      </c>
      <c r="E159" s="12" t="n">
        <v>31000</v>
      </c>
      <c r="F159" s="12" t="s">
        <v>383</v>
      </c>
      <c r="G159" s="12" t="s">
        <v>374</v>
      </c>
    </row>
    <row r="160" customFormat="false" ht="15" hidden="false" customHeight="true" outlineLevel="0" collapsed="false">
      <c r="A160" s="9" t="n">
        <v>159</v>
      </c>
      <c r="B160" s="10" t="s">
        <v>407</v>
      </c>
      <c r="C160" s="11" t="s">
        <v>81</v>
      </c>
      <c r="D160" s="9" t="s">
        <v>14</v>
      </c>
      <c r="E160" s="9" t="n">
        <v>10000</v>
      </c>
      <c r="F160" s="9" t="s">
        <v>383</v>
      </c>
      <c r="G160" s="9" t="s">
        <v>408</v>
      </c>
    </row>
    <row r="161" customFormat="false" ht="15" hidden="false" customHeight="true" outlineLevel="0" collapsed="false">
      <c r="A161" s="12" t="n">
        <v>160</v>
      </c>
      <c r="B161" s="13" t="s">
        <v>409</v>
      </c>
      <c r="C161" s="14" t="s">
        <v>101</v>
      </c>
      <c r="D161" s="12" t="s">
        <v>68</v>
      </c>
      <c r="E161" s="12" t="n">
        <v>8000</v>
      </c>
      <c r="F161" s="12" t="s">
        <v>383</v>
      </c>
      <c r="G161" s="12" t="s">
        <v>410</v>
      </c>
    </row>
    <row r="162" customFormat="false" ht="15" hidden="false" customHeight="true" outlineLevel="0" collapsed="false">
      <c r="A162" s="9" t="n">
        <v>161</v>
      </c>
      <c r="B162" s="10" t="s">
        <v>411</v>
      </c>
      <c r="C162" s="11" t="s">
        <v>29</v>
      </c>
      <c r="D162" s="9" t="s">
        <v>51</v>
      </c>
      <c r="E162" s="9" t="n">
        <v>15000</v>
      </c>
      <c r="F162" s="9" t="s">
        <v>383</v>
      </c>
      <c r="G162" s="9" t="s">
        <v>137</v>
      </c>
    </row>
    <row r="163" customFormat="false" ht="15" hidden="false" customHeight="true" outlineLevel="0" collapsed="false">
      <c r="A163" s="12" t="n">
        <v>162</v>
      </c>
      <c r="B163" s="13" t="s">
        <v>412</v>
      </c>
      <c r="C163" s="14" t="s">
        <v>8</v>
      </c>
      <c r="D163" s="12" t="s">
        <v>92</v>
      </c>
      <c r="E163" s="12" t="n">
        <v>18000</v>
      </c>
      <c r="F163" s="12" t="s">
        <v>383</v>
      </c>
      <c r="G163" s="12" t="s">
        <v>413</v>
      </c>
    </row>
    <row r="164" customFormat="false" ht="15" hidden="false" customHeight="true" outlineLevel="0" collapsed="false">
      <c r="A164" s="9" t="n">
        <v>163</v>
      </c>
      <c r="B164" s="10" t="s">
        <v>414</v>
      </c>
      <c r="C164" s="11" t="s">
        <v>8</v>
      </c>
      <c r="D164" s="9" t="s">
        <v>30</v>
      </c>
      <c r="E164" s="9" t="n">
        <v>17000</v>
      </c>
      <c r="F164" s="9" t="s">
        <v>383</v>
      </c>
      <c r="G164" s="9" t="s">
        <v>415</v>
      </c>
    </row>
    <row r="165" customFormat="false" ht="15" hidden="false" customHeight="true" outlineLevel="0" collapsed="false">
      <c r="A165" s="12" t="n">
        <v>164</v>
      </c>
      <c r="B165" s="13" t="s">
        <v>416</v>
      </c>
      <c r="C165" s="14" t="s">
        <v>101</v>
      </c>
      <c r="D165" s="12" t="s">
        <v>14</v>
      </c>
      <c r="E165" s="12" t="n">
        <v>10000</v>
      </c>
      <c r="F165" s="12" t="s">
        <v>383</v>
      </c>
      <c r="G165" s="12" t="s">
        <v>69</v>
      </c>
    </row>
    <row r="166" customFormat="false" ht="15" hidden="false" customHeight="true" outlineLevel="0" collapsed="false">
      <c r="A166" s="9" t="n">
        <v>165</v>
      </c>
      <c r="B166" s="10" t="s">
        <v>417</v>
      </c>
      <c r="C166" s="11" t="s">
        <v>81</v>
      </c>
      <c r="D166" s="9" t="s">
        <v>418</v>
      </c>
      <c r="E166" s="9" t="n">
        <v>3300</v>
      </c>
      <c r="F166" s="9" t="s">
        <v>383</v>
      </c>
      <c r="G166" s="9" t="s">
        <v>419</v>
      </c>
    </row>
    <row r="167" customFormat="false" ht="15" hidden="false" customHeight="true" outlineLevel="0" collapsed="false">
      <c r="A167" s="12" t="n">
        <v>166</v>
      </c>
      <c r="B167" s="13" t="s">
        <v>420</v>
      </c>
      <c r="C167" s="14" t="s">
        <v>81</v>
      </c>
      <c r="D167" s="12" t="s">
        <v>44</v>
      </c>
      <c r="E167" s="12" t="n">
        <v>21000</v>
      </c>
      <c r="F167" s="12" t="s">
        <v>383</v>
      </c>
      <c r="G167" s="12" t="s">
        <v>330</v>
      </c>
    </row>
    <row r="168" customFormat="false" ht="15" hidden="false" customHeight="true" outlineLevel="0" collapsed="false">
      <c r="A168" s="9" t="n">
        <v>167</v>
      </c>
      <c r="B168" s="10" t="s">
        <v>421</v>
      </c>
      <c r="C168" s="11" t="s">
        <v>81</v>
      </c>
      <c r="D168" s="9" t="s">
        <v>422</v>
      </c>
      <c r="E168" s="9" t="n">
        <v>6400</v>
      </c>
      <c r="F168" s="9" t="s">
        <v>383</v>
      </c>
      <c r="G168" s="9" t="s">
        <v>423</v>
      </c>
    </row>
    <row r="169" customFormat="false" ht="15" hidden="false" customHeight="true" outlineLevel="0" collapsed="false">
      <c r="A169" s="12" t="n">
        <v>168</v>
      </c>
      <c r="B169" s="13" t="s">
        <v>424</v>
      </c>
      <c r="C169" s="14" t="s">
        <v>81</v>
      </c>
      <c r="D169" s="12" t="s">
        <v>405</v>
      </c>
      <c r="E169" s="12" t="n">
        <v>6000</v>
      </c>
      <c r="F169" s="12" t="s">
        <v>383</v>
      </c>
      <c r="G169" s="12" t="s">
        <v>332</v>
      </c>
    </row>
    <row r="170" customFormat="false" ht="15" hidden="false" customHeight="true" outlineLevel="0" collapsed="false">
      <c r="A170" s="9" t="n">
        <v>169</v>
      </c>
      <c r="B170" s="10" t="s">
        <v>425</v>
      </c>
      <c r="C170" s="11" t="s">
        <v>13</v>
      </c>
      <c r="D170" s="9" t="s">
        <v>426</v>
      </c>
      <c r="E170" s="9" t="n">
        <v>5500</v>
      </c>
      <c r="F170" s="9" t="s">
        <v>383</v>
      </c>
      <c r="G170" s="9" t="s">
        <v>427</v>
      </c>
    </row>
    <row r="171" customFormat="false" ht="15" hidden="false" customHeight="true" outlineLevel="0" collapsed="false">
      <c r="A171" s="12" t="n">
        <v>170</v>
      </c>
      <c r="B171" s="13" t="s">
        <v>428</v>
      </c>
      <c r="C171" s="14" t="s">
        <v>81</v>
      </c>
      <c r="D171" s="12" t="s">
        <v>78</v>
      </c>
      <c r="E171" s="12" t="n">
        <v>25000</v>
      </c>
      <c r="F171" s="12" t="s">
        <v>383</v>
      </c>
      <c r="G171" s="12" t="s">
        <v>429</v>
      </c>
    </row>
    <row r="172" customFormat="false" ht="15" hidden="false" customHeight="true" outlineLevel="0" collapsed="false">
      <c r="A172" s="9" t="n">
        <v>171</v>
      </c>
      <c r="B172" s="10" t="s">
        <v>430</v>
      </c>
      <c r="C172" s="11" t="s">
        <v>81</v>
      </c>
      <c r="D172" s="9" t="s">
        <v>431</v>
      </c>
      <c r="E172" s="9" t="n">
        <v>6500</v>
      </c>
      <c r="F172" s="9" t="s">
        <v>383</v>
      </c>
      <c r="G172" s="9" t="s">
        <v>259</v>
      </c>
    </row>
    <row r="173" customFormat="false" ht="15" hidden="false" customHeight="true" outlineLevel="0" collapsed="false">
      <c r="A173" s="12" t="n">
        <v>172</v>
      </c>
      <c r="B173" s="13" t="s">
        <v>432</v>
      </c>
      <c r="C173" s="14" t="s">
        <v>13</v>
      </c>
      <c r="D173" s="12" t="s">
        <v>112</v>
      </c>
      <c r="E173" s="12" t="n">
        <v>29000</v>
      </c>
      <c r="F173" s="12" t="s">
        <v>383</v>
      </c>
      <c r="G173" s="12" t="s">
        <v>433</v>
      </c>
    </row>
    <row r="174" customFormat="false" ht="15" hidden="false" customHeight="true" outlineLevel="0" collapsed="false">
      <c r="A174" s="9" t="n">
        <v>173</v>
      </c>
      <c r="B174" s="10" t="s">
        <v>434</v>
      </c>
      <c r="C174" s="11" t="s">
        <v>8</v>
      </c>
      <c r="D174" s="9" t="s">
        <v>9</v>
      </c>
      <c r="E174" s="9" t="n">
        <v>19000</v>
      </c>
      <c r="F174" s="9" t="s">
        <v>383</v>
      </c>
      <c r="G174" s="9" t="s">
        <v>435</v>
      </c>
    </row>
    <row r="175" customFormat="false" ht="15" hidden="false" customHeight="true" outlineLevel="0" collapsed="false">
      <c r="A175" s="12" t="n">
        <v>174</v>
      </c>
      <c r="B175" s="13" t="s">
        <v>436</v>
      </c>
      <c r="C175" s="14" t="s">
        <v>81</v>
      </c>
      <c r="D175" s="12" t="s">
        <v>437</v>
      </c>
      <c r="E175" s="12" t="n">
        <v>9200</v>
      </c>
      <c r="F175" s="12" t="s">
        <v>383</v>
      </c>
      <c r="G175" s="12" t="s">
        <v>438</v>
      </c>
    </row>
    <row r="176" customFormat="false" ht="15" hidden="false" customHeight="true" outlineLevel="0" collapsed="false">
      <c r="A176" s="9" t="n">
        <v>175</v>
      </c>
      <c r="B176" s="10" t="s">
        <v>439</v>
      </c>
      <c r="C176" s="11" t="s">
        <v>13</v>
      </c>
      <c r="D176" s="9" t="s">
        <v>19</v>
      </c>
      <c r="E176" s="9" t="n">
        <v>12000</v>
      </c>
      <c r="F176" s="9" t="s">
        <v>383</v>
      </c>
      <c r="G176" s="9" t="s">
        <v>440</v>
      </c>
    </row>
    <row r="177" customFormat="false" ht="15" hidden="false" customHeight="true" outlineLevel="0" collapsed="false">
      <c r="A177" s="12" t="n">
        <v>176</v>
      </c>
      <c r="B177" s="13" t="s">
        <v>441</v>
      </c>
      <c r="C177" s="14" t="s">
        <v>8</v>
      </c>
      <c r="D177" s="12" t="s">
        <v>283</v>
      </c>
      <c r="E177" s="12" t="n">
        <v>13000</v>
      </c>
      <c r="F177" s="12" t="s">
        <v>383</v>
      </c>
      <c r="G177" s="12" t="s">
        <v>442</v>
      </c>
    </row>
    <row r="178" customFormat="false" ht="15" hidden="false" customHeight="true" outlineLevel="0" collapsed="false">
      <c r="A178" s="9" t="n">
        <v>177</v>
      </c>
      <c r="B178" s="10" t="s">
        <v>443</v>
      </c>
      <c r="C178" s="11" t="s">
        <v>81</v>
      </c>
      <c r="D178" s="9" t="s">
        <v>92</v>
      </c>
      <c r="E178" s="9" t="n">
        <v>18000</v>
      </c>
      <c r="F178" s="9" t="s">
        <v>383</v>
      </c>
      <c r="G178" s="9" t="s">
        <v>444</v>
      </c>
    </row>
    <row r="179" customFormat="false" ht="15" hidden="false" customHeight="true" outlineLevel="0" collapsed="false">
      <c r="A179" s="12" t="n">
        <v>178</v>
      </c>
      <c r="B179" s="13" t="s">
        <v>445</v>
      </c>
      <c r="C179" s="14" t="s">
        <v>18</v>
      </c>
      <c r="D179" s="12" t="s">
        <v>431</v>
      </c>
      <c r="E179" s="12" t="n">
        <v>6500</v>
      </c>
      <c r="F179" s="12" t="s">
        <v>383</v>
      </c>
      <c r="G179" s="12" t="s">
        <v>446</v>
      </c>
    </row>
    <row r="180" customFormat="false" ht="15" hidden="false" customHeight="true" outlineLevel="0" collapsed="false">
      <c r="A180" s="9" t="n">
        <v>179</v>
      </c>
      <c r="B180" s="10" t="s">
        <v>447</v>
      </c>
      <c r="C180" s="11" t="s">
        <v>13</v>
      </c>
      <c r="D180" s="9" t="s">
        <v>448</v>
      </c>
      <c r="E180" s="9" t="n">
        <v>56000</v>
      </c>
      <c r="F180" s="9" t="s">
        <v>383</v>
      </c>
      <c r="G180" s="9" t="s">
        <v>273</v>
      </c>
    </row>
    <row r="181" customFormat="false" ht="15" hidden="false" customHeight="true" outlineLevel="0" collapsed="false">
      <c r="A181" s="12" t="n">
        <v>180</v>
      </c>
      <c r="B181" s="13" t="s">
        <v>449</v>
      </c>
      <c r="C181" s="14" t="s">
        <v>81</v>
      </c>
      <c r="D181" s="12" t="s">
        <v>19</v>
      </c>
      <c r="E181" s="12" t="n">
        <v>12000</v>
      </c>
      <c r="F181" s="12" t="s">
        <v>383</v>
      </c>
      <c r="G181" s="12" t="s">
        <v>450</v>
      </c>
    </row>
    <row r="182" customFormat="false" ht="15" hidden="false" customHeight="false" outlineLevel="0" collapsed="false">
      <c r="A182" s="9" t="n">
        <v>181</v>
      </c>
      <c r="B182" s="10" t="s">
        <v>451</v>
      </c>
      <c r="C182" s="11" t="s">
        <v>13</v>
      </c>
      <c r="D182" s="9" t="s">
        <v>19</v>
      </c>
      <c r="E182" s="9" t="n">
        <v>12000</v>
      </c>
      <c r="F182" s="9" t="s">
        <v>383</v>
      </c>
      <c r="G182" s="9" t="s">
        <v>243</v>
      </c>
    </row>
    <row r="183" customFormat="false" ht="15" hidden="false" customHeight="false" outlineLevel="0" collapsed="false">
      <c r="A183" s="12" t="n">
        <v>182</v>
      </c>
      <c r="B183" s="13" t="s">
        <v>452</v>
      </c>
      <c r="C183" s="14" t="s">
        <v>8</v>
      </c>
      <c r="D183" s="12" t="s">
        <v>19</v>
      </c>
      <c r="E183" s="12" t="n">
        <v>12000</v>
      </c>
      <c r="F183" s="12" t="s">
        <v>383</v>
      </c>
      <c r="G183" s="12" t="s">
        <v>453</v>
      </c>
    </row>
    <row r="184" customFormat="false" ht="15" hidden="false" customHeight="false" outlineLevel="0" collapsed="false">
      <c r="A184" s="9" t="n">
        <v>183</v>
      </c>
      <c r="B184" s="10" t="s">
        <v>454</v>
      </c>
      <c r="C184" s="11" t="s">
        <v>8</v>
      </c>
      <c r="D184" s="9" t="s">
        <v>108</v>
      </c>
      <c r="E184" s="9" t="n">
        <v>11000</v>
      </c>
      <c r="F184" s="9" t="s">
        <v>383</v>
      </c>
      <c r="G184" s="9" t="s">
        <v>455</v>
      </c>
    </row>
    <row r="185" customFormat="false" ht="15" hidden="false" customHeight="false" outlineLevel="0" collapsed="false">
      <c r="A185" s="12" t="n">
        <v>184</v>
      </c>
      <c r="B185" s="13" t="s">
        <v>456</v>
      </c>
      <c r="C185" s="14" t="s">
        <v>8</v>
      </c>
      <c r="D185" s="12" t="s">
        <v>139</v>
      </c>
      <c r="E185" s="12" t="n">
        <v>39000</v>
      </c>
      <c r="F185" s="12" t="s">
        <v>383</v>
      </c>
      <c r="G185" s="12" t="s">
        <v>457</v>
      </c>
    </row>
    <row r="186" customFormat="false" ht="15" hidden="false" customHeight="false" outlineLevel="0" collapsed="false">
      <c r="A186" s="9" t="n">
        <v>185</v>
      </c>
      <c r="B186" s="10" t="s">
        <v>458</v>
      </c>
      <c r="C186" s="11" t="s">
        <v>13</v>
      </c>
      <c r="D186" s="9" t="s">
        <v>459</v>
      </c>
      <c r="E186" s="9" t="n">
        <v>9600</v>
      </c>
      <c r="F186" s="9" t="s">
        <v>383</v>
      </c>
      <c r="G186" s="9" t="s">
        <v>264</v>
      </c>
    </row>
    <row r="187" customFormat="false" ht="15" hidden="false" customHeight="false" outlineLevel="0" collapsed="false">
      <c r="A187" s="12" t="n">
        <v>186</v>
      </c>
      <c r="B187" s="13" t="s">
        <v>460</v>
      </c>
      <c r="C187" s="14" t="s">
        <v>34</v>
      </c>
      <c r="D187" s="12" t="s">
        <v>19</v>
      </c>
      <c r="E187" s="12" t="n">
        <v>12000</v>
      </c>
      <c r="F187" s="12" t="s">
        <v>383</v>
      </c>
      <c r="G187" s="12" t="s">
        <v>461</v>
      </c>
    </row>
    <row r="188" customFormat="false" ht="15" hidden="false" customHeight="false" outlineLevel="0" collapsed="false">
      <c r="A188" s="9" t="n">
        <v>187</v>
      </c>
      <c r="B188" s="10" t="s">
        <v>462</v>
      </c>
      <c r="C188" s="11" t="s">
        <v>200</v>
      </c>
      <c r="D188" s="9" t="s">
        <v>463</v>
      </c>
      <c r="E188" s="9" t="n">
        <v>3000</v>
      </c>
      <c r="F188" s="9" t="s">
        <v>383</v>
      </c>
      <c r="G188" s="9" t="s">
        <v>464</v>
      </c>
    </row>
    <row r="189" customFormat="false" ht="15" hidden="false" customHeight="false" outlineLevel="0" collapsed="false">
      <c r="A189" s="12" t="n">
        <v>188</v>
      </c>
      <c r="B189" s="13" t="s">
        <v>465</v>
      </c>
      <c r="C189" s="14" t="s">
        <v>13</v>
      </c>
      <c r="D189" s="12" t="s">
        <v>206</v>
      </c>
      <c r="E189" s="12" t="n">
        <v>16000</v>
      </c>
      <c r="F189" s="12" t="s">
        <v>383</v>
      </c>
      <c r="G189" s="12" t="s">
        <v>466</v>
      </c>
    </row>
    <row r="190" customFormat="false" ht="15" hidden="false" customHeight="false" outlineLevel="0" collapsed="false">
      <c r="A190" s="9" t="n">
        <v>189</v>
      </c>
      <c r="B190" s="10" t="s">
        <v>467</v>
      </c>
      <c r="C190" s="11" t="s">
        <v>18</v>
      </c>
      <c r="D190" s="9" t="s">
        <v>468</v>
      </c>
      <c r="E190" s="9" t="n">
        <v>3500</v>
      </c>
      <c r="F190" s="9" t="s">
        <v>383</v>
      </c>
      <c r="G190" s="9" t="s">
        <v>469</v>
      </c>
    </row>
    <row r="191" customFormat="false" ht="15" hidden="false" customHeight="false" outlineLevel="0" collapsed="false">
      <c r="A191" s="12" t="n">
        <v>190</v>
      </c>
      <c r="B191" s="13" t="s">
        <v>470</v>
      </c>
      <c r="C191" s="14" t="s">
        <v>18</v>
      </c>
      <c r="D191" s="12" t="s">
        <v>426</v>
      </c>
      <c r="E191" s="12" t="n">
        <v>5500</v>
      </c>
      <c r="F191" s="12" t="s">
        <v>383</v>
      </c>
      <c r="G191" s="12" t="s">
        <v>471</v>
      </c>
    </row>
    <row r="192" customFormat="false" ht="15" hidden="false" customHeight="false" outlineLevel="0" collapsed="false">
      <c r="A192" s="9" t="n">
        <v>191</v>
      </c>
      <c r="B192" s="10" t="s">
        <v>472</v>
      </c>
      <c r="C192" s="11" t="s">
        <v>101</v>
      </c>
      <c r="D192" s="9" t="s">
        <v>283</v>
      </c>
      <c r="E192" s="9" t="n">
        <v>13000</v>
      </c>
      <c r="F192" s="9" t="s">
        <v>383</v>
      </c>
      <c r="G192" s="9" t="s">
        <v>473</v>
      </c>
    </row>
    <row r="193" customFormat="false" ht="15" hidden="false" customHeight="false" outlineLevel="0" collapsed="false">
      <c r="A193" s="12" t="n">
        <v>192</v>
      </c>
      <c r="B193" s="13" t="s">
        <v>474</v>
      </c>
      <c r="C193" s="14" t="s">
        <v>18</v>
      </c>
      <c r="D193" s="12" t="s">
        <v>475</v>
      </c>
      <c r="E193" s="12" t="n">
        <v>9100</v>
      </c>
      <c r="F193" s="12" t="s">
        <v>383</v>
      </c>
      <c r="G193" s="12" t="s">
        <v>476</v>
      </c>
    </row>
    <row r="194" customFormat="false" ht="15" hidden="false" customHeight="false" outlineLevel="0" collapsed="false">
      <c r="A194" s="9" t="n">
        <v>193</v>
      </c>
      <c r="B194" s="10" t="s">
        <v>477</v>
      </c>
      <c r="C194" s="11" t="s">
        <v>200</v>
      </c>
      <c r="D194" s="9" t="s">
        <v>478</v>
      </c>
      <c r="E194" s="9" t="n">
        <v>2300</v>
      </c>
      <c r="F194" s="9" t="s">
        <v>383</v>
      </c>
      <c r="G194" s="9" t="s">
        <v>479</v>
      </c>
    </row>
    <row r="195" customFormat="false" ht="15" hidden="false" customHeight="false" outlineLevel="0" collapsed="false">
      <c r="A195" s="12" t="n">
        <v>194</v>
      </c>
      <c r="B195" s="13" t="s">
        <v>480</v>
      </c>
      <c r="C195" s="14" t="s">
        <v>34</v>
      </c>
      <c r="D195" s="12" t="s">
        <v>481</v>
      </c>
      <c r="E195" s="12" t="n">
        <v>51000</v>
      </c>
      <c r="F195" s="12" t="s">
        <v>383</v>
      </c>
      <c r="G195" s="12" t="s">
        <v>482</v>
      </c>
    </row>
    <row r="196" customFormat="false" ht="15" hidden="false" customHeight="false" outlineLevel="0" collapsed="false">
      <c r="A196" s="9" t="n">
        <v>195</v>
      </c>
      <c r="B196" s="10" t="s">
        <v>483</v>
      </c>
      <c r="C196" s="11" t="s">
        <v>29</v>
      </c>
      <c r="D196" s="9" t="s">
        <v>484</v>
      </c>
      <c r="E196" s="9" t="n">
        <v>8800</v>
      </c>
      <c r="F196" s="9" t="s">
        <v>383</v>
      </c>
      <c r="G196" s="9" t="s">
        <v>342</v>
      </c>
    </row>
    <row r="197" customFormat="false" ht="15" hidden="false" customHeight="false" outlineLevel="0" collapsed="false">
      <c r="A197" s="12" t="n">
        <v>196</v>
      </c>
      <c r="B197" s="13" t="s">
        <v>485</v>
      </c>
      <c r="C197" s="14" t="s">
        <v>18</v>
      </c>
      <c r="D197" s="12" t="s">
        <v>486</v>
      </c>
      <c r="E197" s="12" t="n">
        <v>143000</v>
      </c>
      <c r="F197" s="12" t="s">
        <v>383</v>
      </c>
      <c r="G197" s="12" t="s">
        <v>487</v>
      </c>
    </row>
    <row r="198" customFormat="false" ht="15" hidden="false" customHeight="false" outlineLevel="0" collapsed="false">
      <c r="A198" s="9" t="n">
        <v>197</v>
      </c>
      <c r="B198" s="10" t="s">
        <v>488</v>
      </c>
      <c r="C198" s="11" t="s">
        <v>8</v>
      </c>
      <c r="D198" s="9" t="s">
        <v>123</v>
      </c>
      <c r="E198" s="9" t="n">
        <v>28000</v>
      </c>
      <c r="F198" s="9" t="s">
        <v>383</v>
      </c>
      <c r="G198" s="9" t="s">
        <v>489</v>
      </c>
    </row>
    <row r="199" customFormat="false" ht="15" hidden="false" customHeight="false" outlineLevel="0" collapsed="false">
      <c r="A199" s="12" t="n">
        <v>198</v>
      </c>
      <c r="B199" s="13" t="s">
        <v>490</v>
      </c>
      <c r="C199" s="14" t="s">
        <v>34</v>
      </c>
      <c r="D199" s="12" t="s">
        <v>491</v>
      </c>
      <c r="E199" s="12" t="n">
        <v>2900</v>
      </c>
      <c r="F199" s="12" t="s">
        <v>383</v>
      </c>
      <c r="G199" s="12" t="s">
        <v>492</v>
      </c>
    </row>
    <row r="200" customFormat="false" ht="15" hidden="false" customHeight="false" outlineLevel="0" collapsed="false">
      <c r="A200" s="9" t="n">
        <v>199</v>
      </c>
      <c r="B200" s="10" t="s">
        <v>493</v>
      </c>
      <c r="C200" s="11" t="s">
        <v>8</v>
      </c>
      <c r="D200" s="9" t="s">
        <v>30</v>
      </c>
      <c r="E200" s="9" t="n">
        <v>17000</v>
      </c>
      <c r="F200" s="9" t="s">
        <v>383</v>
      </c>
      <c r="G200" s="9" t="s">
        <v>170</v>
      </c>
    </row>
    <row r="201" customFormat="false" ht="15" hidden="false" customHeight="false" outlineLevel="0" collapsed="false">
      <c r="A201" s="12" t="n">
        <v>200</v>
      </c>
      <c r="B201" s="13" t="s">
        <v>494</v>
      </c>
      <c r="C201" s="14" t="s">
        <v>13</v>
      </c>
      <c r="D201" s="12" t="s">
        <v>51</v>
      </c>
      <c r="E201" s="12" t="n">
        <v>15000</v>
      </c>
      <c r="F201" s="12" t="s">
        <v>383</v>
      </c>
      <c r="G201" s="12" t="s">
        <v>495</v>
      </c>
    </row>
    <row r="202" customFormat="false" ht="15" hidden="false" customHeight="false" outlineLevel="0" collapsed="false">
      <c r="A202" s="9" t="n">
        <v>201</v>
      </c>
      <c r="B202" s="10" t="s">
        <v>496</v>
      </c>
      <c r="C202" s="11" t="s">
        <v>200</v>
      </c>
      <c r="D202" s="9" t="s">
        <v>366</v>
      </c>
      <c r="E202" s="9" t="n">
        <v>8100</v>
      </c>
      <c r="F202" s="9" t="s">
        <v>383</v>
      </c>
      <c r="G202" s="9" t="s">
        <v>115</v>
      </c>
    </row>
    <row r="203" customFormat="false" ht="15" hidden="false" customHeight="false" outlineLevel="0" collapsed="false">
      <c r="A203" s="12" t="n">
        <v>202</v>
      </c>
      <c r="B203" s="13" t="s">
        <v>497</v>
      </c>
      <c r="C203" s="14" t="s">
        <v>81</v>
      </c>
      <c r="D203" s="12" t="s">
        <v>19</v>
      </c>
      <c r="E203" s="12" t="n">
        <v>12000</v>
      </c>
      <c r="F203" s="12" t="s">
        <v>383</v>
      </c>
      <c r="G203" s="12" t="s">
        <v>498</v>
      </c>
    </row>
    <row r="204" customFormat="false" ht="15" hidden="false" customHeight="false" outlineLevel="0" collapsed="false">
      <c r="A204" s="9" t="n">
        <v>203</v>
      </c>
      <c r="B204" s="10" t="s">
        <v>499</v>
      </c>
      <c r="C204" s="11" t="s">
        <v>101</v>
      </c>
      <c r="D204" s="9" t="s">
        <v>500</v>
      </c>
      <c r="E204" s="9" t="n">
        <v>4200</v>
      </c>
      <c r="F204" s="9" t="s">
        <v>383</v>
      </c>
      <c r="G204" s="9" t="s">
        <v>501</v>
      </c>
    </row>
    <row r="205" customFormat="false" ht="15" hidden="false" customHeight="false" outlineLevel="0" collapsed="false">
      <c r="A205" s="12" t="n">
        <v>204</v>
      </c>
      <c r="B205" s="13" t="s">
        <v>502</v>
      </c>
      <c r="C205" s="14" t="s">
        <v>101</v>
      </c>
      <c r="D205" s="12" t="s">
        <v>503</v>
      </c>
      <c r="E205" s="12" t="n">
        <v>7400</v>
      </c>
      <c r="F205" s="12" t="s">
        <v>383</v>
      </c>
      <c r="G205" s="12" t="s">
        <v>97</v>
      </c>
    </row>
    <row r="206" customFormat="false" ht="15" hidden="false" customHeight="false" outlineLevel="0" collapsed="false">
      <c r="A206" s="9" t="n">
        <v>205</v>
      </c>
      <c r="B206" s="10" t="s">
        <v>504</v>
      </c>
      <c r="C206" s="11" t="s">
        <v>101</v>
      </c>
      <c r="D206" s="9" t="s">
        <v>491</v>
      </c>
      <c r="E206" s="9" t="n">
        <v>2900</v>
      </c>
      <c r="F206" s="9" t="s">
        <v>383</v>
      </c>
      <c r="G206" s="9" t="s">
        <v>505</v>
      </c>
    </row>
    <row r="207" customFormat="false" ht="15" hidden="false" customHeight="false" outlineLevel="0" collapsed="false">
      <c r="A207" s="12" t="n">
        <v>206</v>
      </c>
      <c r="B207" s="13" t="s">
        <v>506</v>
      </c>
      <c r="C207" s="14" t="s">
        <v>34</v>
      </c>
      <c r="D207" s="12" t="s">
        <v>507</v>
      </c>
      <c r="E207" s="12" t="n">
        <v>90000</v>
      </c>
      <c r="F207" s="12" t="s">
        <v>383</v>
      </c>
      <c r="G207" s="12" t="s">
        <v>508</v>
      </c>
    </row>
    <row r="208" customFormat="false" ht="15" hidden="false" customHeight="false" outlineLevel="0" collapsed="false">
      <c r="A208" s="9" t="n">
        <v>207</v>
      </c>
      <c r="B208" s="10" t="s">
        <v>509</v>
      </c>
      <c r="C208" s="11" t="s">
        <v>13</v>
      </c>
      <c r="D208" s="9" t="s">
        <v>19</v>
      </c>
      <c r="E208" s="9" t="n">
        <v>12000</v>
      </c>
      <c r="F208" s="9" t="s">
        <v>383</v>
      </c>
      <c r="G208" s="9" t="s">
        <v>62</v>
      </c>
    </row>
    <row r="209" customFormat="false" ht="15" hidden="false" customHeight="false" outlineLevel="0" collapsed="false">
      <c r="A209" s="12" t="n">
        <v>208</v>
      </c>
      <c r="B209" s="13" t="s">
        <v>510</v>
      </c>
      <c r="C209" s="14" t="s">
        <v>101</v>
      </c>
      <c r="D209" s="12" t="s">
        <v>240</v>
      </c>
      <c r="E209" s="12" t="n">
        <v>8400</v>
      </c>
      <c r="F209" s="12" t="s">
        <v>383</v>
      </c>
      <c r="G209" s="12" t="s">
        <v>511</v>
      </c>
    </row>
    <row r="210" customFormat="false" ht="15" hidden="false" customHeight="false" outlineLevel="0" collapsed="false">
      <c r="A210" s="9" t="n">
        <v>209</v>
      </c>
      <c r="B210" s="10" t="s">
        <v>512</v>
      </c>
      <c r="C210" s="11" t="s">
        <v>13</v>
      </c>
      <c r="D210" s="9" t="s">
        <v>74</v>
      </c>
      <c r="E210" s="9" t="n">
        <v>31000</v>
      </c>
      <c r="F210" s="9" t="s">
        <v>383</v>
      </c>
      <c r="G210" s="9" t="s">
        <v>513</v>
      </c>
    </row>
    <row r="211" customFormat="false" ht="15" hidden="false" customHeight="false" outlineLevel="0" collapsed="false">
      <c r="A211" s="12" t="n">
        <v>210</v>
      </c>
      <c r="B211" s="13" t="s">
        <v>514</v>
      </c>
      <c r="C211" s="14" t="s">
        <v>101</v>
      </c>
      <c r="D211" s="12" t="s">
        <v>19</v>
      </c>
      <c r="E211" s="12" t="n">
        <v>12000</v>
      </c>
      <c r="F211" s="12" t="s">
        <v>383</v>
      </c>
      <c r="G211" s="12" t="s">
        <v>515</v>
      </c>
    </row>
    <row r="212" customFormat="false" ht="15" hidden="false" customHeight="false" outlineLevel="0" collapsed="false">
      <c r="A212" s="9" t="n">
        <v>211</v>
      </c>
      <c r="B212" s="10" t="s">
        <v>516</v>
      </c>
      <c r="C212" s="11" t="s">
        <v>34</v>
      </c>
      <c r="D212" s="9" t="s">
        <v>517</v>
      </c>
      <c r="E212" s="9" t="n">
        <v>7200</v>
      </c>
      <c r="F212" s="9" t="s">
        <v>383</v>
      </c>
      <c r="G212" s="9" t="s">
        <v>518</v>
      </c>
    </row>
    <row r="213" customFormat="false" ht="15" hidden="false" customHeight="false" outlineLevel="0" collapsed="false">
      <c r="A213" s="12" t="n">
        <v>212</v>
      </c>
      <c r="B213" s="13" t="s">
        <v>519</v>
      </c>
      <c r="C213" s="14" t="s">
        <v>101</v>
      </c>
      <c r="D213" s="12" t="s">
        <v>468</v>
      </c>
      <c r="E213" s="12" t="n">
        <v>3500</v>
      </c>
      <c r="F213" s="12" t="s">
        <v>383</v>
      </c>
      <c r="G213" s="12" t="s">
        <v>520</v>
      </c>
    </row>
    <row r="214" customFormat="false" ht="15" hidden="false" customHeight="false" outlineLevel="0" collapsed="false">
      <c r="A214" s="9" t="n">
        <v>213</v>
      </c>
      <c r="B214" s="10" t="s">
        <v>521</v>
      </c>
      <c r="C214" s="11" t="s">
        <v>101</v>
      </c>
      <c r="D214" s="9" t="s">
        <v>14</v>
      </c>
      <c r="E214" s="9" t="n">
        <v>10000</v>
      </c>
      <c r="F214" s="9" t="s">
        <v>522</v>
      </c>
      <c r="G214" s="9" t="s">
        <v>356</v>
      </c>
    </row>
    <row r="215" customFormat="false" ht="15" hidden="false" customHeight="false" outlineLevel="0" collapsed="false">
      <c r="A215" s="12" t="n">
        <v>214</v>
      </c>
      <c r="B215" s="13" t="s">
        <v>523</v>
      </c>
      <c r="C215" s="14" t="s">
        <v>101</v>
      </c>
      <c r="D215" s="12" t="s">
        <v>524</v>
      </c>
      <c r="E215" s="12" t="n">
        <v>5000</v>
      </c>
      <c r="F215" s="12" t="s">
        <v>522</v>
      </c>
      <c r="G215" s="12" t="s">
        <v>513</v>
      </c>
    </row>
    <row r="216" customFormat="false" ht="15" hidden="false" customHeight="false" outlineLevel="0" collapsed="false">
      <c r="A216" s="9" t="n">
        <v>215</v>
      </c>
      <c r="B216" s="10" t="s">
        <v>525</v>
      </c>
      <c r="C216" s="11" t="s">
        <v>101</v>
      </c>
      <c r="D216" s="9" t="s">
        <v>422</v>
      </c>
      <c r="E216" s="9" t="n">
        <v>6400</v>
      </c>
      <c r="F216" s="9" t="s">
        <v>522</v>
      </c>
      <c r="G216" s="9" t="s">
        <v>190</v>
      </c>
    </row>
    <row r="217" customFormat="false" ht="15" hidden="false" customHeight="false" outlineLevel="0" collapsed="false">
      <c r="A217" s="12" t="n">
        <v>216</v>
      </c>
      <c r="B217" s="13" t="s">
        <v>526</v>
      </c>
      <c r="C217" s="14" t="s">
        <v>34</v>
      </c>
      <c r="D217" s="12" t="s">
        <v>527</v>
      </c>
      <c r="E217" s="12" t="n">
        <v>7000</v>
      </c>
      <c r="F217" s="12" t="s">
        <v>522</v>
      </c>
      <c r="G217" s="12" t="s">
        <v>528</v>
      </c>
    </row>
    <row r="218" customFormat="false" ht="15" hidden="false" customHeight="false" outlineLevel="0" collapsed="false">
      <c r="A218" s="9" t="n">
        <v>217</v>
      </c>
      <c r="B218" s="10" t="s">
        <v>529</v>
      </c>
      <c r="C218" s="11" t="s">
        <v>13</v>
      </c>
      <c r="D218" s="9" t="s">
        <v>19</v>
      </c>
      <c r="E218" s="9" t="n">
        <v>12000</v>
      </c>
      <c r="F218" s="9" t="s">
        <v>522</v>
      </c>
      <c r="G218" s="9" t="s">
        <v>530</v>
      </c>
    </row>
    <row r="219" customFormat="false" ht="15" hidden="false" customHeight="false" outlineLevel="0" collapsed="false">
      <c r="A219" s="12" t="n">
        <v>218</v>
      </c>
      <c r="B219" s="13" t="s">
        <v>531</v>
      </c>
      <c r="C219" s="14" t="s">
        <v>81</v>
      </c>
      <c r="D219" s="12" t="s">
        <v>30</v>
      </c>
      <c r="E219" s="12" t="n">
        <v>17000</v>
      </c>
      <c r="F219" s="12" t="s">
        <v>522</v>
      </c>
      <c r="G219" s="12" t="s">
        <v>532</v>
      </c>
    </row>
    <row r="220" customFormat="false" ht="15" hidden="false" customHeight="false" outlineLevel="0" collapsed="false">
      <c r="A220" s="9" t="n">
        <v>219</v>
      </c>
      <c r="B220" s="10" t="s">
        <v>533</v>
      </c>
      <c r="C220" s="11" t="s">
        <v>13</v>
      </c>
      <c r="D220" s="9" t="s">
        <v>163</v>
      </c>
      <c r="E220" s="9" t="n">
        <v>26000</v>
      </c>
      <c r="F220" s="9" t="s">
        <v>522</v>
      </c>
      <c r="G220" s="9" t="s">
        <v>534</v>
      </c>
    </row>
    <row r="221" customFormat="false" ht="15" hidden="false" customHeight="false" outlineLevel="0" collapsed="false">
      <c r="A221" s="12" t="n">
        <v>220</v>
      </c>
      <c r="B221" s="13" t="s">
        <v>535</v>
      </c>
      <c r="C221" s="14" t="s">
        <v>8</v>
      </c>
      <c r="D221" s="12" t="s">
        <v>536</v>
      </c>
      <c r="E221" s="12" t="n">
        <v>9700</v>
      </c>
      <c r="F221" s="12" t="s">
        <v>522</v>
      </c>
      <c r="G221" s="12" t="s">
        <v>537</v>
      </c>
    </row>
    <row r="222" customFormat="false" ht="15" hidden="false" customHeight="false" outlineLevel="0" collapsed="false">
      <c r="A222" s="9" t="n">
        <v>221</v>
      </c>
      <c r="B222" s="10" t="s">
        <v>538</v>
      </c>
      <c r="C222" s="11" t="s">
        <v>13</v>
      </c>
      <c r="D222" s="9" t="s">
        <v>139</v>
      </c>
      <c r="E222" s="9" t="n">
        <v>39000</v>
      </c>
      <c r="F222" s="9" t="s">
        <v>522</v>
      </c>
      <c r="G222" s="9" t="s">
        <v>539</v>
      </c>
    </row>
    <row r="223" customFormat="false" ht="15" hidden="false" customHeight="false" outlineLevel="0" collapsed="false">
      <c r="A223" s="12" t="n">
        <v>222</v>
      </c>
      <c r="B223" s="13" t="s">
        <v>540</v>
      </c>
      <c r="C223" s="14" t="s">
        <v>101</v>
      </c>
      <c r="D223" s="12" t="s">
        <v>541</v>
      </c>
      <c r="E223" s="12" t="n">
        <v>4400</v>
      </c>
      <c r="F223" s="12" t="s">
        <v>522</v>
      </c>
      <c r="G223" s="12" t="s">
        <v>542</v>
      </c>
    </row>
    <row r="224" customFormat="false" ht="15" hidden="false" customHeight="false" outlineLevel="0" collapsed="false">
      <c r="A224" s="9" t="n">
        <v>223</v>
      </c>
      <c r="B224" s="10" t="s">
        <v>543</v>
      </c>
      <c r="C224" s="11" t="s">
        <v>18</v>
      </c>
      <c r="D224" s="9" t="s">
        <v>544</v>
      </c>
      <c r="E224" s="9" t="n">
        <v>4700</v>
      </c>
      <c r="F224" s="9" t="s">
        <v>522</v>
      </c>
      <c r="G224" s="9" t="s">
        <v>545</v>
      </c>
    </row>
    <row r="225" customFormat="false" ht="15" hidden="false" customHeight="false" outlineLevel="0" collapsed="false">
      <c r="A225" s="12" t="n">
        <v>224</v>
      </c>
      <c r="B225" s="13" t="s">
        <v>546</v>
      </c>
      <c r="C225" s="14" t="s">
        <v>200</v>
      </c>
      <c r="D225" s="12" t="s">
        <v>547</v>
      </c>
      <c r="E225" s="12" t="n">
        <v>2400</v>
      </c>
      <c r="F225" s="12" t="s">
        <v>522</v>
      </c>
      <c r="G225" s="12" t="s">
        <v>410</v>
      </c>
    </row>
    <row r="226" customFormat="false" ht="15" hidden="false" customHeight="false" outlineLevel="0" collapsed="false">
      <c r="A226" s="9" t="n">
        <v>225</v>
      </c>
      <c r="B226" s="10" t="s">
        <v>548</v>
      </c>
      <c r="C226" s="11" t="s">
        <v>13</v>
      </c>
      <c r="D226" s="9" t="s">
        <v>123</v>
      </c>
      <c r="E226" s="9" t="n">
        <v>28000</v>
      </c>
      <c r="F226" s="9" t="s">
        <v>522</v>
      </c>
      <c r="G226" s="9" t="s">
        <v>137</v>
      </c>
    </row>
    <row r="227" customFormat="false" ht="15" hidden="false" customHeight="false" outlineLevel="0" collapsed="false">
      <c r="A227" s="12" t="n">
        <v>226</v>
      </c>
      <c r="B227" s="13" t="s">
        <v>549</v>
      </c>
      <c r="C227" s="14" t="s">
        <v>13</v>
      </c>
      <c r="D227" s="12" t="s">
        <v>197</v>
      </c>
      <c r="E227" s="12" t="n">
        <v>30000</v>
      </c>
      <c r="F227" s="12" t="s">
        <v>522</v>
      </c>
      <c r="G227" s="12" t="s">
        <v>550</v>
      </c>
    </row>
    <row r="228" customFormat="false" ht="15" hidden="false" customHeight="false" outlineLevel="0" collapsed="false">
      <c r="A228" s="9" t="n">
        <v>227</v>
      </c>
      <c r="B228" s="10" t="s">
        <v>551</v>
      </c>
      <c r="C228" s="11" t="s">
        <v>101</v>
      </c>
      <c r="D228" s="9" t="s">
        <v>552</v>
      </c>
      <c r="E228" s="9" t="n">
        <v>490000</v>
      </c>
      <c r="F228" s="9" t="s">
        <v>522</v>
      </c>
      <c r="G228" s="9" t="s">
        <v>553</v>
      </c>
    </row>
    <row r="229" customFormat="false" ht="15" hidden="false" customHeight="false" outlineLevel="0" collapsed="false">
      <c r="A229" s="12" t="n">
        <v>228</v>
      </c>
      <c r="B229" s="13" t="s">
        <v>554</v>
      </c>
      <c r="C229" s="14" t="s">
        <v>18</v>
      </c>
      <c r="D229" s="12" t="s">
        <v>555</v>
      </c>
      <c r="E229" s="12" t="n">
        <v>9800</v>
      </c>
      <c r="F229" s="12" t="s">
        <v>522</v>
      </c>
      <c r="G229" s="12" t="s">
        <v>556</v>
      </c>
    </row>
    <row r="230" customFormat="false" ht="15" hidden="false" customHeight="false" outlineLevel="0" collapsed="false">
      <c r="A230" s="9" t="n">
        <v>229</v>
      </c>
      <c r="B230" s="10" t="s">
        <v>557</v>
      </c>
      <c r="C230" s="11" t="s">
        <v>29</v>
      </c>
      <c r="D230" s="9" t="s">
        <v>30</v>
      </c>
      <c r="E230" s="9" t="n">
        <v>17000</v>
      </c>
      <c r="F230" s="9" t="s">
        <v>522</v>
      </c>
      <c r="G230" s="9" t="s">
        <v>558</v>
      </c>
    </row>
    <row r="231" customFormat="false" ht="15" hidden="false" customHeight="false" outlineLevel="0" collapsed="false">
      <c r="A231" s="12" t="n">
        <v>230</v>
      </c>
      <c r="B231" s="13" t="s">
        <v>559</v>
      </c>
      <c r="C231" s="14" t="s">
        <v>81</v>
      </c>
      <c r="D231" s="12" t="s">
        <v>560</v>
      </c>
      <c r="E231" s="12" t="n">
        <v>4800</v>
      </c>
      <c r="F231" s="12" t="s">
        <v>522</v>
      </c>
      <c r="G231" s="12" t="s">
        <v>561</v>
      </c>
    </row>
    <row r="232" customFormat="false" ht="15" hidden="false" customHeight="false" outlineLevel="0" collapsed="false">
      <c r="A232" s="9" t="n">
        <v>231</v>
      </c>
      <c r="B232" s="10" t="s">
        <v>562</v>
      </c>
      <c r="C232" s="11" t="s">
        <v>13</v>
      </c>
      <c r="D232" s="9" t="s">
        <v>51</v>
      </c>
      <c r="E232" s="9" t="n">
        <v>15000</v>
      </c>
      <c r="F232" s="9" t="s">
        <v>522</v>
      </c>
      <c r="G232" s="9" t="s">
        <v>532</v>
      </c>
    </row>
    <row r="233" customFormat="false" ht="15" hidden="false" customHeight="false" outlineLevel="0" collapsed="false">
      <c r="A233" s="12" t="n">
        <v>232</v>
      </c>
      <c r="B233" s="13" t="s">
        <v>563</v>
      </c>
      <c r="C233" s="14" t="s">
        <v>13</v>
      </c>
      <c r="D233" s="12" t="s">
        <v>163</v>
      </c>
      <c r="E233" s="12" t="n">
        <v>26000</v>
      </c>
      <c r="F233" s="12" t="s">
        <v>522</v>
      </c>
      <c r="G233" s="12" t="s">
        <v>505</v>
      </c>
    </row>
    <row r="234" customFormat="false" ht="15" hidden="false" customHeight="false" outlineLevel="0" collapsed="false">
      <c r="A234" s="9" t="n">
        <v>233</v>
      </c>
      <c r="B234" s="10" t="s">
        <v>564</v>
      </c>
      <c r="C234" s="11" t="s">
        <v>200</v>
      </c>
      <c r="D234" s="9" t="s">
        <v>92</v>
      </c>
      <c r="E234" s="9" t="n">
        <v>18000</v>
      </c>
      <c r="F234" s="9" t="s">
        <v>522</v>
      </c>
      <c r="G234" s="9" t="s">
        <v>565</v>
      </c>
    </row>
    <row r="235" customFormat="false" ht="15" hidden="false" customHeight="false" outlineLevel="0" collapsed="false">
      <c r="A235" s="12" t="n">
        <v>234</v>
      </c>
      <c r="B235" s="13" t="s">
        <v>566</v>
      </c>
      <c r="C235" s="14" t="s">
        <v>200</v>
      </c>
      <c r="D235" s="12" t="s">
        <v>567</v>
      </c>
      <c r="E235" s="12" t="n">
        <v>2100</v>
      </c>
      <c r="F235" s="12" t="s">
        <v>522</v>
      </c>
      <c r="G235" s="12" t="s">
        <v>568</v>
      </c>
    </row>
    <row r="236" customFormat="false" ht="15" hidden="false" customHeight="false" outlineLevel="0" collapsed="false">
      <c r="A236" s="9" t="n">
        <v>235</v>
      </c>
      <c r="B236" s="10" t="s">
        <v>569</v>
      </c>
      <c r="C236" s="11" t="s">
        <v>13</v>
      </c>
      <c r="D236" s="9" t="s">
        <v>95</v>
      </c>
      <c r="E236" s="9" t="n">
        <v>24000</v>
      </c>
      <c r="F236" s="9" t="s">
        <v>522</v>
      </c>
      <c r="G236" s="9" t="s">
        <v>374</v>
      </c>
    </row>
    <row r="237" customFormat="false" ht="15" hidden="false" customHeight="false" outlineLevel="0" collapsed="false">
      <c r="A237" s="12" t="n">
        <v>236</v>
      </c>
      <c r="B237" s="13" t="s">
        <v>570</v>
      </c>
      <c r="C237" s="14" t="s">
        <v>13</v>
      </c>
      <c r="D237" s="12" t="s">
        <v>88</v>
      </c>
      <c r="E237" s="12" t="n">
        <v>38000</v>
      </c>
      <c r="F237" s="12" t="s">
        <v>522</v>
      </c>
      <c r="G237" s="12" t="s">
        <v>571</v>
      </c>
    </row>
    <row r="238" customFormat="false" ht="15" hidden="false" customHeight="false" outlineLevel="0" collapsed="false">
      <c r="A238" s="9" t="n">
        <v>237</v>
      </c>
      <c r="B238" s="10" t="s">
        <v>572</v>
      </c>
      <c r="C238" s="11" t="s">
        <v>101</v>
      </c>
      <c r="D238" s="9" t="s">
        <v>237</v>
      </c>
      <c r="E238" s="9" t="n">
        <v>3100</v>
      </c>
      <c r="F238" s="9" t="s">
        <v>522</v>
      </c>
      <c r="G238" s="9" t="s">
        <v>312</v>
      </c>
    </row>
    <row r="239" customFormat="false" ht="15" hidden="false" customHeight="false" outlineLevel="0" collapsed="false">
      <c r="A239" s="12" t="n">
        <v>238</v>
      </c>
      <c r="B239" s="13" t="s">
        <v>573</v>
      </c>
      <c r="C239" s="14" t="s">
        <v>34</v>
      </c>
      <c r="D239" s="12" t="s">
        <v>19</v>
      </c>
      <c r="E239" s="12" t="n">
        <v>12000</v>
      </c>
      <c r="F239" s="12" t="s">
        <v>522</v>
      </c>
      <c r="G239" s="12" t="s">
        <v>574</v>
      </c>
    </row>
    <row r="240" customFormat="false" ht="15" hidden="false" customHeight="false" outlineLevel="0" collapsed="false">
      <c r="A240" s="9" t="n">
        <v>239</v>
      </c>
      <c r="B240" s="10" t="s">
        <v>575</v>
      </c>
      <c r="C240" s="11" t="s">
        <v>84</v>
      </c>
      <c r="D240" s="9" t="s">
        <v>576</v>
      </c>
      <c r="E240" s="9" t="n">
        <v>1700</v>
      </c>
      <c r="F240" s="9" t="s">
        <v>522</v>
      </c>
      <c r="G240" s="9" t="s">
        <v>577</v>
      </c>
    </row>
    <row r="241" customFormat="false" ht="15" hidden="false" customHeight="false" outlineLevel="0" collapsed="false">
      <c r="A241" s="12" t="n">
        <v>240</v>
      </c>
      <c r="B241" s="13" t="s">
        <v>578</v>
      </c>
      <c r="C241" s="14" t="s">
        <v>200</v>
      </c>
      <c r="D241" s="12" t="s">
        <v>579</v>
      </c>
      <c r="E241" s="12" t="n">
        <v>2000</v>
      </c>
      <c r="F241" s="12" t="s">
        <v>522</v>
      </c>
      <c r="G241" s="12" t="s">
        <v>580</v>
      </c>
    </row>
    <row r="242" customFormat="false" ht="15" hidden="false" customHeight="false" outlineLevel="0" collapsed="false">
      <c r="A242" s="9" t="n">
        <v>241</v>
      </c>
      <c r="B242" s="10" t="s">
        <v>581</v>
      </c>
      <c r="C242" s="11" t="s">
        <v>34</v>
      </c>
      <c r="D242" s="9" t="s">
        <v>582</v>
      </c>
      <c r="E242" s="9" t="n">
        <v>82000</v>
      </c>
      <c r="F242" s="9" t="s">
        <v>522</v>
      </c>
      <c r="G242" s="9" t="s">
        <v>583</v>
      </c>
    </row>
    <row r="243" customFormat="false" ht="15" hidden="false" customHeight="false" outlineLevel="0" collapsed="false">
      <c r="A243" s="12" t="n">
        <v>242</v>
      </c>
      <c r="B243" s="13" t="s">
        <v>584</v>
      </c>
      <c r="C243" s="14" t="s">
        <v>84</v>
      </c>
      <c r="D243" s="12" t="s">
        <v>585</v>
      </c>
      <c r="E243" s="12" t="n">
        <v>1200</v>
      </c>
      <c r="F243" s="12" t="s">
        <v>522</v>
      </c>
      <c r="G243" s="12" t="s">
        <v>586</v>
      </c>
    </row>
    <row r="244" customFormat="false" ht="15" hidden="false" customHeight="false" outlineLevel="0" collapsed="false">
      <c r="A244" s="9" t="n">
        <v>243</v>
      </c>
      <c r="B244" s="10" t="s">
        <v>587</v>
      </c>
      <c r="C244" s="11" t="s">
        <v>200</v>
      </c>
      <c r="D244" s="9" t="s">
        <v>491</v>
      </c>
      <c r="E244" s="9" t="n">
        <v>2900</v>
      </c>
      <c r="F244" s="9" t="s">
        <v>522</v>
      </c>
      <c r="G244" s="9" t="s">
        <v>574</v>
      </c>
    </row>
    <row r="245" customFormat="false" ht="15" hidden="false" customHeight="false" outlineLevel="0" collapsed="false">
      <c r="A245" s="12" t="n">
        <v>244</v>
      </c>
      <c r="B245" s="13" t="s">
        <v>588</v>
      </c>
      <c r="C245" s="14" t="s">
        <v>13</v>
      </c>
      <c r="D245" s="12" t="s">
        <v>136</v>
      </c>
      <c r="E245" s="12" t="n">
        <v>22000</v>
      </c>
      <c r="F245" s="12" t="s">
        <v>522</v>
      </c>
      <c r="G245" s="12" t="s">
        <v>589</v>
      </c>
    </row>
    <row r="246" customFormat="false" ht="15" hidden="false" customHeight="false" outlineLevel="0" collapsed="false">
      <c r="A246" s="9" t="n">
        <v>245</v>
      </c>
      <c r="B246" s="10" t="s">
        <v>590</v>
      </c>
      <c r="C246" s="11" t="s">
        <v>200</v>
      </c>
      <c r="D246" s="9" t="s">
        <v>591</v>
      </c>
      <c r="E246" s="9" t="n">
        <v>1500</v>
      </c>
      <c r="F246" s="9" t="s">
        <v>522</v>
      </c>
      <c r="G246" s="9" t="s">
        <v>303</v>
      </c>
    </row>
    <row r="247" customFormat="false" ht="15" hidden="false" customHeight="false" outlineLevel="0" collapsed="false">
      <c r="A247" s="12" t="n">
        <v>246</v>
      </c>
      <c r="B247" s="13" t="s">
        <v>592</v>
      </c>
      <c r="C247" s="14" t="s">
        <v>18</v>
      </c>
      <c r="D247" s="12" t="s">
        <v>593</v>
      </c>
      <c r="E247" s="12" t="n">
        <v>2000000</v>
      </c>
      <c r="F247" s="12" t="s">
        <v>522</v>
      </c>
      <c r="G247" s="12" t="s">
        <v>594</v>
      </c>
    </row>
    <row r="248" customFormat="false" ht="15" hidden="false" customHeight="false" outlineLevel="0" collapsed="false">
      <c r="A248" s="9" t="n">
        <v>247</v>
      </c>
      <c r="B248" s="10" t="s">
        <v>595</v>
      </c>
      <c r="C248" s="11" t="s">
        <v>81</v>
      </c>
      <c r="D248" s="9" t="s">
        <v>418</v>
      </c>
      <c r="E248" s="9" t="n">
        <v>3300</v>
      </c>
      <c r="F248" s="9" t="s">
        <v>522</v>
      </c>
      <c r="G248" s="9" t="s">
        <v>596</v>
      </c>
    </row>
    <row r="249" customFormat="false" ht="15" hidden="false" customHeight="false" outlineLevel="0" collapsed="false">
      <c r="A249" s="12" t="n">
        <v>248</v>
      </c>
      <c r="B249" s="13" t="s">
        <v>597</v>
      </c>
      <c r="C249" s="14" t="s">
        <v>13</v>
      </c>
      <c r="D249" s="12" t="s">
        <v>598</v>
      </c>
      <c r="E249" s="12" t="n">
        <v>41000</v>
      </c>
      <c r="F249" s="12" t="s">
        <v>522</v>
      </c>
      <c r="G249" s="12" t="s">
        <v>599</v>
      </c>
    </row>
    <row r="250" customFormat="false" ht="15" hidden="false" customHeight="false" outlineLevel="0" collapsed="false">
      <c r="A250" s="9" t="n">
        <v>249</v>
      </c>
      <c r="B250" s="10" t="s">
        <v>600</v>
      </c>
      <c r="C250" s="11" t="s">
        <v>13</v>
      </c>
      <c r="D250" s="9" t="s">
        <v>14</v>
      </c>
      <c r="E250" s="9" t="n">
        <v>10000</v>
      </c>
      <c r="F250" s="9" t="s">
        <v>522</v>
      </c>
      <c r="G250" s="9" t="s">
        <v>601</v>
      </c>
    </row>
    <row r="251" customFormat="false" ht="15" hidden="false" customHeight="false" outlineLevel="0" collapsed="false">
      <c r="A251" s="12" t="n">
        <v>250</v>
      </c>
      <c r="B251" s="13" t="s">
        <v>602</v>
      </c>
      <c r="C251" s="14" t="s">
        <v>200</v>
      </c>
      <c r="D251" s="12" t="s">
        <v>585</v>
      </c>
      <c r="E251" s="12" t="n">
        <v>1200</v>
      </c>
      <c r="F251" s="12" t="s">
        <v>522</v>
      </c>
      <c r="G251" s="12" t="s">
        <v>603</v>
      </c>
    </row>
    <row r="252" customFormat="false" ht="15" hidden="false" customHeight="false" outlineLevel="0" collapsed="false">
      <c r="A252" s="9" t="n">
        <v>251</v>
      </c>
      <c r="B252" s="10" t="s">
        <v>604</v>
      </c>
      <c r="C252" s="11" t="s">
        <v>13</v>
      </c>
      <c r="D252" s="9" t="s">
        <v>175</v>
      </c>
      <c r="E252" s="9" t="n">
        <v>20000</v>
      </c>
      <c r="F252" s="9" t="s">
        <v>522</v>
      </c>
      <c r="G252" s="9" t="s">
        <v>605</v>
      </c>
    </row>
    <row r="253" customFormat="false" ht="15" hidden="false" customHeight="false" outlineLevel="0" collapsed="false">
      <c r="A253" s="12" t="n">
        <v>252</v>
      </c>
      <c r="B253" s="13" t="s">
        <v>606</v>
      </c>
      <c r="C253" s="14" t="s">
        <v>200</v>
      </c>
      <c r="D253" s="12" t="s">
        <v>102</v>
      </c>
      <c r="E253" s="12" t="n">
        <v>1600</v>
      </c>
      <c r="F253" s="12" t="s">
        <v>522</v>
      </c>
      <c r="G253" s="12" t="s">
        <v>607</v>
      </c>
    </row>
    <row r="254" customFormat="false" ht="15" hidden="false" customHeight="false" outlineLevel="0" collapsed="false">
      <c r="A254" s="9" t="n">
        <v>253</v>
      </c>
      <c r="B254" s="10" t="s">
        <v>608</v>
      </c>
      <c r="C254" s="11" t="s">
        <v>101</v>
      </c>
      <c r="D254" s="9" t="s">
        <v>459</v>
      </c>
      <c r="E254" s="9" t="n">
        <v>9600</v>
      </c>
      <c r="F254" s="9" t="s">
        <v>522</v>
      </c>
      <c r="G254" s="9" t="s">
        <v>609</v>
      </c>
    </row>
    <row r="255" customFormat="false" ht="15" hidden="false" customHeight="false" outlineLevel="0" collapsed="false">
      <c r="A255" s="12" t="n">
        <v>254</v>
      </c>
      <c r="B255" s="13" t="s">
        <v>610</v>
      </c>
      <c r="C255" s="14" t="s">
        <v>84</v>
      </c>
      <c r="D255" s="12" t="s">
        <v>102</v>
      </c>
      <c r="E255" s="12" t="n">
        <v>1600</v>
      </c>
      <c r="F255" s="12" t="s">
        <v>522</v>
      </c>
      <c r="G255" s="12" t="s">
        <v>611</v>
      </c>
    </row>
    <row r="256" customFormat="false" ht="15" hidden="false" customHeight="false" outlineLevel="0" collapsed="false">
      <c r="A256" s="9" t="n">
        <v>255</v>
      </c>
      <c r="B256" s="10" t="s">
        <v>612</v>
      </c>
      <c r="C256" s="11" t="s">
        <v>34</v>
      </c>
      <c r="D256" s="9" t="s">
        <v>360</v>
      </c>
      <c r="E256" s="9" t="n">
        <v>5700</v>
      </c>
      <c r="F256" s="9" t="s">
        <v>522</v>
      </c>
      <c r="G256" s="9" t="s">
        <v>613</v>
      </c>
    </row>
    <row r="257" customFormat="false" ht="15" hidden="false" customHeight="false" outlineLevel="0" collapsed="false">
      <c r="A257" s="12" t="n">
        <v>256</v>
      </c>
      <c r="B257" s="13" t="s">
        <v>614</v>
      </c>
      <c r="C257" s="14" t="s">
        <v>18</v>
      </c>
      <c r="D257" s="12" t="s">
        <v>216</v>
      </c>
      <c r="E257" s="12" t="n">
        <v>64000</v>
      </c>
      <c r="F257" s="12" t="s">
        <v>522</v>
      </c>
      <c r="G257" s="12" t="s">
        <v>615</v>
      </c>
    </row>
    <row r="258" customFormat="false" ht="15" hidden="false" customHeight="false" outlineLevel="0" collapsed="false">
      <c r="A258" s="9" t="n">
        <v>257</v>
      </c>
      <c r="B258" s="10" t="s">
        <v>616</v>
      </c>
      <c r="C258" s="11" t="s">
        <v>13</v>
      </c>
      <c r="D258" s="9" t="s">
        <v>206</v>
      </c>
      <c r="E258" s="9" t="n">
        <v>16000</v>
      </c>
      <c r="F258" s="9" t="s">
        <v>522</v>
      </c>
      <c r="G258" s="9" t="s">
        <v>617</v>
      </c>
    </row>
    <row r="259" customFormat="false" ht="15" hidden="false" customHeight="false" outlineLevel="0" collapsed="false">
      <c r="A259" s="12" t="n">
        <v>258</v>
      </c>
      <c r="B259" s="13" t="s">
        <v>618</v>
      </c>
      <c r="C259" s="14" t="s">
        <v>81</v>
      </c>
      <c r="D259" s="12" t="s">
        <v>19</v>
      </c>
      <c r="E259" s="12" t="n">
        <v>12000</v>
      </c>
      <c r="F259" s="12" t="s">
        <v>522</v>
      </c>
      <c r="G259" s="12" t="s">
        <v>619</v>
      </c>
    </row>
    <row r="260" customFormat="false" ht="15" hidden="false" customHeight="false" outlineLevel="0" collapsed="false">
      <c r="A260" s="9" t="n">
        <v>259</v>
      </c>
      <c r="B260" s="10" t="s">
        <v>620</v>
      </c>
      <c r="C260" s="11" t="s">
        <v>18</v>
      </c>
      <c r="D260" s="9" t="s">
        <v>237</v>
      </c>
      <c r="E260" s="9" t="n">
        <v>3100</v>
      </c>
      <c r="F260" s="9" t="s">
        <v>522</v>
      </c>
      <c r="G260" s="9" t="s">
        <v>621</v>
      </c>
    </row>
    <row r="261" customFormat="false" ht="15" hidden="false" customHeight="false" outlineLevel="0" collapsed="false">
      <c r="A261" s="12" t="n">
        <v>260</v>
      </c>
      <c r="B261" s="13" t="s">
        <v>622</v>
      </c>
      <c r="C261" s="14" t="s">
        <v>200</v>
      </c>
      <c r="D261" s="12" t="s">
        <v>623</v>
      </c>
      <c r="E261" s="12" t="n">
        <v>1800</v>
      </c>
      <c r="F261" s="12" t="s">
        <v>522</v>
      </c>
      <c r="G261" s="12" t="s">
        <v>611</v>
      </c>
    </row>
    <row r="262" customFormat="false" ht="15" hidden="false" customHeight="false" outlineLevel="0" collapsed="false">
      <c r="A262" s="9" t="n">
        <v>261</v>
      </c>
      <c r="B262" s="10" t="s">
        <v>624</v>
      </c>
      <c r="C262" s="11" t="s">
        <v>200</v>
      </c>
      <c r="D262" s="9" t="s">
        <v>102</v>
      </c>
      <c r="E262" s="9" t="n">
        <v>1600</v>
      </c>
      <c r="F262" s="9" t="s">
        <v>522</v>
      </c>
      <c r="G262" s="9" t="s">
        <v>625</v>
      </c>
    </row>
    <row r="263" customFormat="false" ht="15" hidden="false" customHeight="false" outlineLevel="0" collapsed="false">
      <c r="A263" s="12" t="n">
        <v>262</v>
      </c>
      <c r="B263" s="13" t="s">
        <v>626</v>
      </c>
      <c r="C263" s="14" t="s">
        <v>101</v>
      </c>
      <c r="D263" s="12" t="s">
        <v>169</v>
      </c>
      <c r="E263" s="12" t="n">
        <v>8200</v>
      </c>
      <c r="F263" s="12" t="s">
        <v>522</v>
      </c>
      <c r="G263" s="12" t="s">
        <v>627</v>
      </c>
    </row>
    <row r="264" customFormat="false" ht="15" hidden="false" customHeight="false" outlineLevel="0" collapsed="false">
      <c r="A264" s="9" t="n">
        <v>263</v>
      </c>
      <c r="B264" s="10" t="s">
        <v>628</v>
      </c>
      <c r="C264" s="11" t="s">
        <v>13</v>
      </c>
      <c r="D264" s="9" t="s">
        <v>14</v>
      </c>
      <c r="E264" s="9" t="n">
        <v>10000</v>
      </c>
      <c r="F264" s="9" t="s">
        <v>522</v>
      </c>
      <c r="G264" s="9" t="s">
        <v>629</v>
      </c>
    </row>
    <row r="265" customFormat="false" ht="15" hidden="false" customHeight="false" outlineLevel="0" collapsed="false">
      <c r="A265" s="12" t="n">
        <v>264</v>
      </c>
      <c r="B265" s="13" t="s">
        <v>630</v>
      </c>
      <c r="C265" s="14" t="s">
        <v>200</v>
      </c>
      <c r="D265" s="12" t="s">
        <v>591</v>
      </c>
      <c r="E265" s="12" t="n">
        <v>1500</v>
      </c>
      <c r="F265" s="12" t="s">
        <v>522</v>
      </c>
      <c r="G265" s="12" t="s">
        <v>190</v>
      </c>
    </row>
    <row r="266" customFormat="false" ht="15" hidden="false" customHeight="false" outlineLevel="0" collapsed="false">
      <c r="A266" s="9" t="n">
        <v>265</v>
      </c>
      <c r="B266" s="10" t="s">
        <v>631</v>
      </c>
      <c r="C266" s="11" t="s">
        <v>101</v>
      </c>
      <c r="D266" s="9" t="s">
        <v>169</v>
      </c>
      <c r="E266" s="9" t="n">
        <v>8200</v>
      </c>
      <c r="F266" s="9" t="s">
        <v>522</v>
      </c>
      <c r="G266" s="9" t="s">
        <v>632</v>
      </c>
    </row>
    <row r="267" customFormat="false" ht="15" hidden="false" customHeight="false" outlineLevel="0" collapsed="false">
      <c r="A267" s="12" t="n">
        <v>266</v>
      </c>
      <c r="B267" s="13" t="s">
        <v>633</v>
      </c>
      <c r="C267" s="14" t="s">
        <v>18</v>
      </c>
      <c r="D267" s="12" t="s">
        <v>206</v>
      </c>
      <c r="E267" s="12" t="n">
        <v>16000</v>
      </c>
      <c r="F267" s="12" t="s">
        <v>522</v>
      </c>
      <c r="G267" s="12" t="s">
        <v>297</v>
      </c>
    </row>
    <row r="268" customFormat="false" ht="15" hidden="false" customHeight="false" outlineLevel="0" collapsed="false">
      <c r="A268" s="9" t="n">
        <v>267</v>
      </c>
      <c r="B268" s="10" t="s">
        <v>634</v>
      </c>
      <c r="C268" s="11" t="s">
        <v>81</v>
      </c>
      <c r="D268" s="9" t="s">
        <v>635</v>
      </c>
      <c r="E268" s="9" t="n">
        <v>783</v>
      </c>
      <c r="F268" s="9" t="s">
        <v>522</v>
      </c>
      <c r="G268" s="9" t="s">
        <v>321</v>
      </c>
    </row>
    <row r="269" customFormat="false" ht="15" hidden="false" customHeight="false" outlineLevel="0" collapsed="false">
      <c r="A269" s="12" t="n">
        <v>268</v>
      </c>
      <c r="B269" s="13" t="s">
        <v>636</v>
      </c>
      <c r="C269" s="14" t="s">
        <v>13</v>
      </c>
      <c r="D269" s="12" t="s">
        <v>108</v>
      </c>
      <c r="E269" s="12" t="n">
        <v>11000</v>
      </c>
      <c r="F269" s="12" t="s">
        <v>522</v>
      </c>
      <c r="G269" s="12" t="s">
        <v>637</v>
      </c>
    </row>
    <row r="270" customFormat="false" ht="15" hidden="false" customHeight="false" outlineLevel="0" collapsed="false">
      <c r="A270" s="9" t="n">
        <v>269</v>
      </c>
      <c r="B270" s="10" t="s">
        <v>638</v>
      </c>
      <c r="C270" s="11" t="s">
        <v>13</v>
      </c>
      <c r="D270" s="9" t="s">
        <v>579</v>
      </c>
      <c r="E270" s="9" t="n">
        <v>2000</v>
      </c>
      <c r="F270" s="9" t="s">
        <v>522</v>
      </c>
      <c r="G270" s="9" t="s">
        <v>639</v>
      </c>
    </row>
    <row r="271" customFormat="false" ht="15" hidden="false" customHeight="false" outlineLevel="0" collapsed="false">
      <c r="A271" s="12" t="n">
        <v>270</v>
      </c>
      <c r="B271" s="13" t="s">
        <v>640</v>
      </c>
      <c r="C271" s="14" t="s">
        <v>13</v>
      </c>
      <c r="D271" s="12" t="s">
        <v>641</v>
      </c>
      <c r="E271" s="12" t="n">
        <v>6700</v>
      </c>
      <c r="F271" s="12" t="s">
        <v>522</v>
      </c>
      <c r="G271" s="12" t="s">
        <v>642</v>
      </c>
    </row>
  </sheetData>
  <autoFilter ref="A1:G2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5" t="s">
        <v>2</v>
      </c>
      <c r="B1" s="15" t="s">
        <v>643</v>
      </c>
      <c r="C1" s="15" t="s">
        <v>644</v>
      </c>
      <c r="D1" s="15" t="s">
        <v>645</v>
      </c>
      <c r="E1" s="15" t="s">
        <v>646</v>
      </c>
    </row>
    <row r="2" customFormat="false" ht="15" hidden="false" customHeight="false" outlineLevel="0" collapsed="false">
      <c r="A2" s="16" t="s">
        <v>29</v>
      </c>
      <c r="B2" s="17" t="n">
        <f aca="false">COUNTIF(Videos!C:C,A2)</f>
        <v>16</v>
      </c>
      <c r="C2" s="18" t="n">
        <f aca="false">SUMIF(Videos!C:C,A2,Videos!E:E)</f>
        <v>301500</v>
      </c>
      <c r="D2" s="18" t="n">
        <f aca="false">IFERROR(C2/B2,0)</f>
        <v>18843.75</v>
      </c>
      <c r="E2" s="19" t="n">
        <f aca="false">B2/270</f>
        <v>0.0592592592592593</v>
      </c>
    </row>
    <row r="3" customFormat="false" ht="15" hidden="false" customHeight="false" outlineLevel="0" collapsed="false">
      <c r="A3" s="16" t="s">
        <v>101</v>
      </c>
      <c r="B3" s="17" t="n">
        <f aca="false">COUNTIF(Videos!C:C,A3)</f>
        <v>24</v>
      </c>
      <c r="C3" s="18" t="n">
        <f aca="false">SUMIF(Videos!C:C,A3,Videos!E:E)</f>
        <v>675900</v>
      </c>
      <c r="D3" s="18" t="n">
        <f aca="false">IFERROR(C3/B3,0)</f>
        <v>28162.5</v>
      </c>
      <c r="E3" s="19" t="n">
        <f aca="false">B3/270</f>
        <v>0.0888888888888889</v>
      </c>
    </row>
    <row r="4" customFormat="false" ht="15" hidden="false" customHeight="false" outlineLevel="0" collapsed="false">
      <c r="A4" s="16" t="s">
        <v>18</v>
      </c>
      <c r="B4" s="17" t="n">
        <f aca="false">COUNTIF(Videos!C:C,A4)</f>
        <v>26</v>
      </c>
      <c r="C4" s="18" t="n">
        <f aca="false">SUMIF(Videos!C:C,A4,Videos!E:E)</f>
        <v>3018500</v>
      </c>
      <c r="D4" s="18" t="n">
        <f aca="false">IFERROR(C4/B4,0)</f>
        <v>116096.153846154</v>
      </c>
      <c r="E4" s="19" t="n">
        <f aca="false">B4/270</f>
        <v>0.0962962962962963</v>
      </c>
    </row>
    <row r="5" customFormat="false" ht="15" hidden="false" customHeight="false" outlineLevel="0" collapsed="false">
      <c r="A5" s="16" t="s">
        <v>81</v>
      </c>
      <c r="B5" s="17" t="n">
        <f aca="false">COUNTIF(Videos!C:C,A5)</f>
        <v>40</v>
      </c>
      <c r="C5" s="18" t="n">
        <f aca="false">SUMIF(Videos!C:C,A5,Videos!E:E)</f>
        <v>516483</v>
      </c>
      <c r="D5" s="18" t="n">
        <f aca="false">IFERROR(C5/B5,0)</f>
        <v>12912.075</v>
      </c>
      <c r="E5" s="19" t="n">
        <f aca="false">B5/270</f>
        <v>0.148148148148148</v>
      </c>
    </row>
    <row r="6" customFormat="false" ht="15" hidden="false" customHeight="false" outlineLevel="0" collapsed="false">
      <c r="A6" s="16" t="s">
        <v>13</v>
      </c>
      <c r="B6" s="17" t="n">
        <f aca="false">COUNTIF(Videos!C:C,A6)</f>
        <v>75</v>
      </c>
      <c r="C6" s="18" t="n">
        <f aca="false">SUMIF(Videos!C:C,A6,Videos!E:E)</f>
        <v>1930300</v>
      </c>
      <c r="D6" s="18" t="n">
        <f aca="false">IFERROR(C6/B6,0)</f>
        <v>25737.3333333333</v>
      </c>
      <c r="E6" s="19" t="n">
        <f aca="false">B6/270</f>
        <v>0.277777777777778</v>
      </c>
    </row>
    <row r="7" customFormat="false" ht="15" hidden="false" customHeight="false" outlineLevel="0" collapsed="false">
      <c r="A7" s="16" t="s">
        <v>8</v>
      </c>
      <c r="B7" s="17" t="n">
        <f aca="false">COUNTIF(Videos!C:C,A7)</f>
        <v>42</v>
      </c>
      <c r="C7" s="18" t="n">
        <f aca="false">SUMIF(Videos!C:C,A7,Videos!E:E)</f>
        <v>842900</v>
      </c>
      <c r="D7" s="18" t="n">
        <f aca="false">IFERROR(C7/B7,0)</f>
        <v>20069.0476190476</v>
      </c>
      <c r="E7" s="19" t="n">
        <f aca="false">B7/270</f>
        <v>0.155555555555556</v>
      </c>
    </row>
    <row r="8" customFormat="false" ht="15" hidden="false" customHeight="false" outlineLevel="0" collapsed="false">
      <c r="A8" s="16" t="s">
        <v>200</v>
      </c>
      <c r="B8" s="17" t="n">
        <f aca="false">COUNTIF(Videos!C:C,A8)</f>
        <v>17</v>
      </c>
      <c r="C8" s="18" t="n">
        <f aca="false">SUMIF(Videos!C:C,A8,Videos!E:E)</f>
        <v>88500</v>
      </c>
      <c r="D8" s="18" t="n">
        <f aca="false">IFERROR(C8/B8,0)</f>
        <v>5205.88235294118</v>
      </c>
      <c r="E8" s="19" t="n">
        <f aca="false">B8/270</f>
        <v>0.062962962962963</v>
      </c>
    </row>
    <row r="9" customFormat="false" ht="15" hidden="false" customHeight="false" outlineLevel="0" collapsed="false">
      <c r="A9" s="16" t="s">
        <v>34</v>
      </c>
      <c r="B9" s="17" t="n">
        <f aca="false">COUNTIF(Videos!C:C,A9)</f>
        <v>24</v>
      </c>
      <c r="C9" s="18" t="n">
        <f aca="false">SUMIF(Videos!C:C,A9,Videos!E:E)</f>
        <v>888300</v>
      </c>
      <c r="D9" s="18" t="n">
        <f aca="false">IFERROR(C9/B9,0)</f>
        <v>37012.5</v>
      </c>
      <c r="E9" s="19" t="n">
        <f aca="false">B9/270</f>
        <v>0.0888888888888889</v>
      </c>
    </row>
    <row r="10" customFormat="false" ht="15" hidden="false" customHeight="false" outlineLevel="0" collapsed="false">
      <c r="A10" s="16" t="s">
        <v>84</v>
      </c>
      <c r="B10" s="17" t="n">
        <f aca="false">COUNTIF(Videos!C:C,A10)</f>
        <v>6</v>
      </c>
      <c r="C10" s="18" t="n">
        <f aca="false">SUMIF(Videos!C:C,A10,Videos!E:E)</f>
        <v>21800</v>
      </c>
      <c r="D10" s="18" t="n">
        <f aca="false">IFERROR(C10/B10,0)</f>
        <v>3633.33333333333</v>
      </c>
      <c r="E10" s="19" t="n">
        <f aca="false">B10/270</f>
        <v>0.0222222222222222</v>
      </c>
    </row>
    <row r="11" customFormat="false" ht="15" hidden="false" customHeight="false" outlineLevel="0" collapsed="false">
      <c r="A11" s="20" t="s">
        <v>647</v>
      </c>
      <c r="B11" s="21" t="n">
        <f aca="false">SUM(B2:B10)</f>
        <v>270</v>
      </c>
      <c r="C11" s="22" t="n">
        <f aca="false">SUM(C2:C10)</f>
        <v>8284183</v>
      </c>
      <c r="D11" s="22" t="n">
        <f aca="false">IFERROR(C11/B11,0)</f>
        <v>30682.1592592593</v>
      </c>
      <c r="E11" s="23" t="n">
        <f aca="false">SUM(E2:E10)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5" t="s">
        <v>648</v>
      </c>
      <c r="B1" s="15" t="s">
        <v>1</v>
      </c>
      <c r="C1" s="15" t="s">
        <v>2</v>
      </c>
      <c r="D1" s="15" t="s">
        <v>3</v>
      </c>
      <c r="E1" s="15" t="s">
        <v>5</v>
      </c>
    </row>
    <row r="2" customFormat="false" ht="15" hidden="false" customHeight="false" outlineLevel="0" collapsed="false">
      <c r="A2" s="17" t="n">
        <v>1</v>
      </c>
      <c r="B2" s="24" t="s">
        <v>592</v>
      </c>
      <c r="C2" s="25" t="s">
        <v>18</v>
      </c>
      <c r="D2" s="18" t="n">
        <v>2000000</v>
      </c>
      <c r="E2" s="17" t="s">
        <v>522</v>
      </c>
    </row>
    <row r="3" customFormat="false" ht="15" hidden="false" customHeight="false" outlineLevel="0" collapsed="false">
      <c r="A3" s="17" t="n">
        <v>2</v>
      </c>
      <c r="B3" s="24" t="s">
        <v>551</v>
      </c>
      <c r="C3" s="25" t="s">
        <v>101</v>
      </c>
      <c r="D3" s="18" t="n">
        <v>490000</v>
      </c>
      <c r="E3" s="17" t="s">
        <v>522</v>
      </c>
    </row>
    <row r="4" customFormat="false" ht="15" hidden="false" customHeight="false" outlineLevel="0" collapsed="false">
      <c r="A4" s="17" t="n">
        <v>3</v>
      </c>
      <c r="B4" s="24" t="s">
        <v>191</v>
      </c>
      <c r="C4" s="25" t="s">
        <v>18</v>
      </c>
      <c r="D4" s="18" t="n">
        <v>198000</v>
      </c>
      <c r="E4" s="17" t="s">
        <v>186</v>
      </c>
    </row>
    <row r="5" customFormat="false" ht="15" hidden="false" customHeight="false" outlineLevel="0" collapsed="false">
      <c r="A5" s="17" t="n">
        <v>4</v>
      </c>
      <c r="B5" s="24" t="s">
        <v>221</v>
      </c>
      <c r="C5" s="25" t="s">
        <v>18</v>
      </c>
      <c r="D5" s="18" t="n">
        <v>169000</v>
      </c>
      <c r="E5" s="17" t="s">
        <v>186</v>
      </c>
    </row>
    <row r="6" customFormat="false" ht="15" hidden="false" customHeight="false" outlineLevel="0" collapsed="false">
      <c r="A6" s="17" t="n">
        <v>5</v>
      </c>
      <c r="B6" s="24" t="s">
        <v>485</v>
      </c>
      <c r="C6" s="25" t="s">
        <v>18</v>
      </c>
      <c r="D6" s="18" t="n">
        <v>143000</v>
      </c>
      <c r="E6" s="17" t="s">
        <v>383</v>
      </c>
    </row>
    <row r="7" customFormat="false" ht="15" hidden="false" customHeight="false" outlineLevel="0" collapsed="false">
      <c r="A7" s="17" t="n">
        <v>6</v>
      </c>
      <c r="B7" s="24" t="s">
        <v>116</v>
      </c>
      <c r="C7" s="25" t="s">
        <v>8</v>
      </c>
      <c r="D7" s="18" t="n">
        <v>111000</v>
      </c>
      <c r="E7" s="17" t="s">
        <v>109</v>
      </c>
    </row>
    <row r="8" customFormat="false" ht="15" hidden="false" customHeight="false" outlineLevel="0" collapsed="false">
      <c r="A8" s="17" t="n">
        <v>7</v>
      </c>
      <c r="B8" s="24" t="s">
        <v>156</v>
      </c>
      <c r="C8" s="25" t="s">
        <v>34</v>
      </c>
      <c r="D8" s="18" t="n">
        <v>110000</v>
      </c>
      <c r="E8" s="17" t="s">
        <v>109</v>
      </c>
    </row>
    <row r="9" customFormat="false" ht="15" hidden="false" customHeight="false" outlineLevel="0" collapsed="false">
      <c r="A9" s="17" t="n">
        <v>8</v>
      </c>
      <c r="B9" s="24" t="s">
        <v>218</v>
      </c>
      <c r="C9" s="25" t="s">
        <v>13</v>
      </c>
      <c r="D9" s="18" t="n">
        <v>101000</v>
      </c>
      <c r="E9" s="17" t="s">
        <v>186</v>
      </c>
    </row>
    <row r="10" customFormat="false" ht="15" hidden="false" customHeight="false" outlineLevel="0" collapsed="false">
      <c r="A10" s="17" t="n">
        <v>9</v>
      </c>
      <c r="B10" s="24" t="s">
        <v>151</v>
      </c>
      <c r="C10" s="25" t="s">
        <v>18</v>
      </c>
      <c r="D10" s="18" t="n">
        <v>100000</v>
      </c>
      <c r="E10" s="17" t="s">
        <v>109</v>
      </c>
    </row>
    <row r="11" customFormat="false" ht="15" hidden="false" customHeight="false" outlineLevel="0" collapsed="false">
      <c r="A11" s="17" t="n">
        <v>10</v>
      </c>
      <c r="B11" s="24" t="s">
        <v>506</v>
      </c>
      <c r="C11" s="25" t="s">
        <v>34</v>
      </c>
      <c r="D11" s="18" t="n">
        <v>90000</v>
      </c>
      <c r="E11" s="17" t="s">
        <v>383</v>
      </c>
    </row>
    <row r="12" customFormat="false" ht="15" hidden="false" customHeight="false" outlineLevel="0" collapsed="false">
      <c r="A12" s="17" t="n">
        <v>11</v>
      </c>
      <c r="B12" s="24" t="s">
        <v>378</v>
      </c>
      <c r="C12" s="25" t="s">
        <v>34</v>
      </c>
      <c r="D12" s="18" t="n">
        <v>83000</v>
      </c>
      <c r="E12" s="17" t="s">
        <v>291</v>
      </c>
    </row>
    <row r="13" customFormat="false" ht="15" hidden="false" customHeight="false" outlineLevel="0" collapsed="false">
      <c r="A13" s="17" t="n">
        <v>12</v>
      </c>
      <c r="B13" s="24" t="s">
        <v>581</v>
      </c>
      <c r="C13" s="25" t="s">
        <v>34</v>
      </c>
      <c r="D13" s="18" t="n">
        <v>82000</v>
      </c>
      <c r="E13" s="17" t="s">
        <v>522</v>
      </c>
    </row>
    <row r="14" customFormat="false" ht="15" hidden="false" customHeight="false" outlineLevel="0" collapsed="false">
      <c r="A14" s="17" t="n">
        <v>13</v>
      </c>
      <c r="B14" s="24" t="s">
        <v>124</v>
      </c>
      <c r="C14" s="25" t="s">
        <v>34</v>
      </c>
      <c r="D14" s="18" t="n">
        <v>81000</v>
      </c>
      <c r="E14" s="17" t="s">
        <v>109</v>
      </c>
    </row>
    <row r="15" customFormat="false" ht="15" hidden="false" customHeight="false" outlineLevel="0" collapsed="false">
      <c r="A15" s="17" t="n">
        <v>14</v>
      </c>
      <c r="B15" s="24" t="s">
        <v>165</v>
      </c>
      <c r="C15" s="25" t="s">
        <v>13</v>
      </c>
      <c r="D15" s="18" t="n">
        <v>77000</v>
      </c>
      <c r="E15" s="17" t="s">
        <v>109</v>
      </c>
    </row>
    <row r="16" customFormat="false" ht="15" hidden="false" customHeight="false" outlineLevel="0" collapsed="false">
      <c r="A16" s="17" t="n">
        <v>15</v>
      </c>
      <c r="B16" s="24" t="s">
        <v>25</v>
      </c>
      <c r="C16" s="25" t="s">
        <v>13</v>
      </c>
      <c r="D16" s="18" t="n">
        <v>72000</v>
      </c>
      <c r="E16" s="17" t="s">
        <v>20</v>
      </c>
    </row>
    <row r="17" customFormat="false" ht="15" hidden="false" customHeight="false" outlineLevel="0" collapsed="false">
      <c r="A17" s="17" t="n">
        <v>16</v>
      </c>
      <c r="B17" s="24" t="s">
        <v>320</v>
      </c>
      <c r="C17" s="25" t="s">
        <v>13</v>
      </c>
      <c r="D17" s="18" t="n">
        <v>72000</v>
      </c>
      <c r="E17" s="17" t="s">
        <v>291</v>
      </c>
    </row>
    <row r="18" customFormat="false" ht="15" hidden="false" customHeight="false" outlineLevel="0" collapsed="false">
      <c r="A18" s="17" t="n">
        <v>17</v>
      </c>
      <c r="B18" s="24" t="s">
        <v>159</v>
      </c>
      <c r="C18" s="25" t="s">
        <v>8</v>
      </c>
      <c r="D18" s="18" t="n">
        <v>69000</v>
      </c>
      <c r="E18" s="17" t="s">
        <v>109</v>
      </c>
    </row>
    <row r="19" customFormat="false" ht="15" hidden="false" customHeight="false" outlineLevel="0" collapsed="false">
      <c r="A19" s="17" t="n">
        <v>18</v>
      </c>
      <c r="B19" s="24" t="s">
        <v>215</v>
      </c>
      <c r="C19" s="25" t="s">
        <v>34</v>
      </c>
      <c r="D19" s="18" t="n">
        <v>64000</v>
      </c>
      <c r="E19" s="17" t="s">
        <v>186</v>
      </c>
    </row>
    <row r="20" customFormat="false" ht="15" hidden="false" customHeight="false" outlineLevel="0" collapsed="false">
      <c r="A20" s="17" t="n">
        <v>19</v>
      </c>
      <c r="B20" s="24" t="s">
        <v>614</v>
      </c>
      <c r="C20" s="25" t="s">
        <v>18</v>
      </c>
      <c r="D20" s="18" t="n">
        <v>64000</v>
      </c>
      <c r="E20" s="17" t="s">
        <v>522</v>
      </c>
    </row>
    <row r="21" customFormat="false" ht="15" hidden="false" customHeight="false" outlineLevel="0" collapsed="false">
      <c r="A21" s="17" t="n">
        <v>20</v>
      </c>
      <c r="B21" s="24" t="s">
        <v>141</v>
      </c>
      <c r="C21" s="25" t="s">
        <v>81</v>
      </c>
      <c r="D21" s="18" t="n">
        <v>59000</v>
      </c>
      <c r="E21" s="1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23.85" hidden="false" customHeight="false" outlineLevel="0" collapsed="false">
      <c r="A1" s="26" t="s">
        <v>2</v>
      </c>
      <c r="B1" s="26" t="s">
        <v>649</v>
      </c>
      <c r="C1" s="26" t="s">
        <v>650</v>
      </c>
      <c r="D1" s="26" t="s">
        <v>651</v>
      </c>
      <c r="E1" s="26" t="s">
        <v>652</v>
      </c>
      <c r="F1" s="26" t="s">
        <v>653</v>
      </c>
      <c r="G1" s="26" t="s">
        <v>654</v>
      </c>
      <c r="H1" s="26" t="s">
        <v>655</v>
      </c>
    </row>
    <row r="2" customFormat="false" ht="15" hidden="false" customHeight="false" outlineLevel="0" collapsed="false">
      <c r="A2" s="27" t="s">
        <v>29</v>
      </c>
      <c r="B2" s="17" t="n">
        <v>2</v>
      </c>
      <c r="C2" s="17" t="n">
        <v>2</v>
      </c>
      <c r="D2" s="17" t="n">
        <v>3</v>
      </c>
      <c r="E2" s="17" t="n">
        <v>5</v>
      </c>
      <c r="F2" s="17" t="n">
        <v>3</v>
      </c>
      <c r="G2" s="17" t="n">
        <v>1</v>
      </c>
      <c r="H2" s="28" t="n">
        <f aca="false">SUM(B2:G2)</f>
        <v>16</v>
      </c>
    </row>
    <row r="3" customFormat="false" ht="15" hidden="false" customHeight="false" outlineLevel="0" collapsed="false">
      <c r="A3" s="27" t="s">
        <v>101</v>
      </c>
      <c r="B3" s="17" t="n">
        <v>1</v>
      </c>
      <c r="C3" s="17" t="n">
        <v>0</v>
      </c>
      <c r="D3" s="17" t="n">
        <v>2</v>
      </c>
      <c r="E3" s="17" t="n">
        <v>3</v>
      </c>
      <c r="F3" s="17" t="n">
        <v>9</v>
      </c>
      <c r="G3" s="17" t="n">
        <v>9</v>
      </c>
      <c r="H3" s="28" t="n">
        <f aca="false">SUM(B3:G3)</f>
        <v>24</v>
      </c>
    </row>
    <row r="4" customFormat="false" ht="15" hidden="false" customHeight="false" outlineLevel="0" collapsed="false">
      <c r="A4" s="27" t="s">
        <v>18</v>
      </c>
      <c r="B4" s="17" t="n">
        <v>2</v>
      </c>
      <c r="C4" s="17" t="n">
        <v>6</v>
      </c>
      <c r="D4" s="17" t="n">
        <v>3</v>
      </c>
      <c r="E4" s="17" t="n">
        <v>4</v>
      </c>
      <c r="F4" s="17" t="n">
        <v>5</v>
      </c>
      <c r="G4" s="17" t="n">
        <v>6</v>
      </c>
      <c r="H4" s="28" t="n">
        <f aca="false">SUM(B4:G4)</f>
        <v>26</v>
      </c>
    </row>
    <row r="5" customFormat="false" ht="15" hidden="false" customHeight="false" outlineLevel="0" collapsed="false">
      <c r="A5" s="27" t="s">
        <v>81</v>
      </c>
      <c r="B5" s="17" t="n">
        <v>3</v>
      </c>
      <c r="C5" s="17" t="n">
        <v>2</v>
      </c>
      <c r="D5" s="17" t="n">
        <v>5</v>
      </c>
      <c r="E5" s="17" t="n">
        <v>10</v>
      </c>
      <c r="F5" s="17" t="n">
        <v>15</v>
      </c>
      <c r="G5" s="17" t="n">
        <v>5</v>
      </c>
      <c r="H5" s="28" t="n">
        <f aca="false">SUM(B5:G5)</f>
        <v>40</v>
      </c>
    </row>
    <row r="6" customFormat="false" ht="15" hidden="false" customHeight="false" outlineLevel="0" collapsed="false">
      <c r="A6" s="27" t="s">
        <v>13</v>
      </c>
      <c r="B6" s="17" t="n">
        <v>7</v>
      </c>
      <c r="C6" s="17" t="n">
        <v>10</v>
      </c>
      <c r="D6" s="17" t="n">
        <v>15</v>
      </c>
      <c r="E6" s="17" t="n">
        <v>12</v>
      </c>
      <c r="F6" s="17" t="n">
        <v>13</v>
      </c>
      <c r="G6" s="17" t="n">
        <v>18</v>
      </c>
      <c r="H6" s="28" t="n">
        <f aca="false">SUM(B6:G6)</f>
        <v>75</v>
      </c>
    </row>
    <row r="7" customFormat="false" ht="15" hidden="false" customHeight="false" outlineLevel="0" collapsed="false">
      <c r="A7" s="27" t="s">
        <v>8</v>
      </c>
      <c r="B7" s="17" t="n">
        <v>9</v>
      </c>
      <c r="C7" s="17" t="n">
        <v>8</v>
      </c>
      <c r="D7" s="17" t="n">
        <v>4</v>
      </c>
      <c r="E7" s="17" t="n">
        <v>7</v>
      </c>
      <c r="F7" s="17" t="n">
        <v>13</v>
      </c>
      <c r="G7" s="17" t="n">
        <v>1</v>
      </c>
      <c r="H7" s="28" t="n">
        <f aca="false">SUM(B7:G7)</f>
        <v>42</v>
      </c>
    </row>
    <row r="8" customFormat="false" ht="15" hidden="false" customHeight="false" outlineLevel="0" collapsed="false">
      <c r="A8" s="27" t="s">
        <v>200</v>
      </c>
      <c r="B8" s="17" t="n">
        <v>0</v>
      </c>
      <c r="C8" s="17" t="n">
        <v>0</v>
      </c>
      <c r="D8" s="17" t="n">
        <v>3</v>
      </c>
      <c r="E8" s="17" t="n">
        <v>0</v>
      </c>
      <c r="F8" s="17" t="n">
        <v>3</v>
      </c>
      <c r="G8" s="17" t="n">
        <v>11</v>
      </c>
      <c r="H8" s="28" t="n">
        <f aca="false">SUM(B8:G8)</f>
        <v>17</v>
      </c>
    </row>
    <row r="9" customFormat="false" ht="15" hidden="false" customHeight="false" outlineLevel="0" collapsed="false">
      <c r="A9" s="27" t="s">
        <v>34</v>
      </c>
      <c r="B9" s="17" t="n">
        <v>2</v>
      </c>
      <c r="C9" s="17" t="n">
        <v>2</v>
      </c>
      <c r="D9" s="17" t="n">
        <v>8</v>
      </c>
      <c r="E9" s="17" t="n">
        <v>3</v>
      </c>
      <c r="F9" s="17" t="n">
        <v>5</v>
      </c>
      <c r="G9" s="17" t="n">
        <v>4</v>
      </c>
      <c r="H9" s="28" t="n">
        <f aca="false">SUM(B9:G9)</f>
        <v>24</v>
      </c>
    </row>
    <row r="10" customFormat="false" ht="15" hidden="false" customHeight="false" outlineLevel="0" collapsed="false">
      <c r="A10" s="27" t="s">
        <v>84</v>
      </c>
      <c r="B10" s="17" t="n">
        <v>2</v>
      </c>
      <c r="C10" s="17" t="n">
        <v>0</v>
      </c>
      <c r="D10" s="17" t="n">
        <v>0</v>
      </c>
      <c r="E10" s="17" t="n">
        <v>1</v>
      </c>
      <c r="F10" s="17" t="n">
        <v>0</v>
      </c>
      <c r="G10" s="17" t="n">
        <v>3</v>
      </c>
      <c r="H10" s="28" t="n">
        <f aca="false">SUM(B10:G10)</f>
        <v>6</v>
      </c>
    </row>
    <row r="11" customFormat="false" ht="15" hidden="false" customHeight="false" outlineLevel="0" collapsed="false">
      <c r="A11" s="20" t="s">
        <v>647</v>
      </c>
      <c r="B11" s="21" t="n">
        <f aca="false">SUM(B2:B10)</f>
        <v>28</v>
      </c>
      <c r="C11" s="21" t="n">
        <f aca="false">SUM(C2:C10)</f>
        <v>30</v>
      </c>
      <c r="D11" s="21" t="n">
        <f aca="false">SUM(D2:D10)</f>
        <v>43</v>
      </c>
      <c r="E11" s="21" t="n">
        <f aca="false">SUM(E2:E10)</f>
        <v>45</v>
      </c>
      <c r="F11" s="21" t="n">
        <f aca="false">SUM(F2:F10)</f>
        <v>66</v>
      </c>
      <c r="G11" s="21" t="n">
        <f aca="false">SUM(G2:G10)</f>
        <v>58</v>
      </c>
      <c r="H11" s="21" t="n">
        <f aca="false">SUM(H2:H10)</f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9" t="s">
        <v>656</v>
      </c>
      <c r="B1" s="29" t="s">
        <v>2</v>
      </c>
      <c r="C1" s="29" t="s">
        <v>3</v>
      </c>
      <c r="D1" s="29" t="s">
        <v>657</v>
      </c>
    </row>
    <row r="2" customFormat="false" ht="15" hidden="false" customHeight="false" outlineLevel="0" collapsed="false">
      <c r="A2" s="24" t="s">
        <v>592</v>
      </c>
      <c r="B2" s="25" t="s">
        <v>18</v>
      </c>
      <c r="C2" s="18" t="n">
        <v>2000000</v>
      </c>
      <c r="D2" s="30"/>
    </row>
    <row r="3" customFormat="false" ht="15" hidden="false" customHeight="false" outlineLevel="0" collapsed="false">
      <c r="A3" s="24" t="s">
        <v>551</v>
      </c>
      <c r="B3" s="25" t="s">
        <v>101</v>
      </c>
      <c r="C3" s="18" t="n">
        <v>490000</v>
      </c>
      <c r="D3" s="30" t="s">
        <v>658</v>
      </c>
    </row>
    <row r="4" customFormat="false" ht="15" hidden="false" customHeight="false" outlineLevel="0" collapsed="false">
      <c r="A4" s="24" t="s">
        <v>581</v>
      </c>
      <c r="B4" s="25" t="s">
        <v>34</v>
      </c>
      <c r="C4" s="18" t="n">
        <v>82000</v>
      </c>
      <c r="D4" s="30" t="s">
        <v>659</v>
      </c>
    </row>
    <row r="5" customFormat="false" ht="15" hidden="false" customHeight="false" outlineLevel="0" collapsed="false">
      <c r="A5" s="24" t="s">
        <v>614</v>
      </c>
      <c r="B5" s="25" t="s">
        <v>18</v>
      </c>
      <c r="C5" s="18" t="n">
        <v>64000</v>
      </c>
      <c r="D5" s="30"/>
    </row>
    <row r="6" customFormat="false" ht="15" hidden="false" customHeight="false" outlineLevel="0" collapsed="false">
      <c r="A6" s="24" t="s">
        <v>597</v>
      </c>
      <c r="B6" s="25" t="s">
        <v>13</v>
      </c>
      <c r="C6" s="18" t="n">
        <v>41000</v>
      </c>
      <c r="D6" s="30"/>
    </row>
    <row r="7" customFormat="false" ht="15" hidden="false" customHeight="false" outlineLevel="0" collapsed="false">
      <c r="A7" s="24" t="s">
        <v>538</v>
      </c>
      <c r="B7" s="25" t="s">
        <v>13</v>
      </c>
      <c r="C7" s="18" t="n">
        <v>39000</v>
      </c>
      <c r="D7" s="30"/>
    </row>
    <row r="8" customFormat="false" ht="15" hidden="false" customHeight="false" outlineLevel="0" collapsed="false">
      <c r="A8" s="24" t="s">
        <v>570</v>
      </c>
      <c r="B8" s="25" t="s">
        <v>13</v>
      </c>
      <c r="C8" s="18" t="n">
        <v>38000</v>
      </c>
      <c r="D8" s="30" t="s">
        <v>660</v>
      </c>
    </row>
    <row r="9" customFormat="false" ht="15" hidden="false" customHeight="false" outlineLevel="0" collapsed="false">
      <c r="A9" s="24" t="s">
        <v>549</v>
      </c>
      <c r="B9" s="25" t="s">
        <v>13</v>
      </c>
      <c r="C9" s="18" t="n">
        <v>30000</v>
      </c>
      <c r="D9" s="30" t="s">
        <v>661</v>
      </c>
    </row>
    <row r="10" customFormat="false" ht="15" hidden="false" customHeight="false" outlineLevel="0" collapsed="false">
      <c r="A10" s="24" t="s">
        <v>548</v>
      </c>
      <c r="B10" s="25" t="s">
        <v>13</v>
      </c>
      <c r="C10" s="18" t="n">
        <v>28000</v>
      </c>
      <c r="D10" s="30" t="s">
        <v>662</v>
      </c>
    </row>
    <row r="11" customFormat="false" ht="15" hidden="false" customHeight="false" outlineLevel="0" collapsed="false">
      <c r="A11" s="24" t="s">
        <v>533</v>
      </c>
      <c r="B11" s="25" t="s">
        <v>13</v>
      </c>
      <c r="C11" s="18" t="n">
        <v>26000</v>
      </c>
      <c r="D11" s="30" t="s">
        <v>663</v>
      </c>
    </row>
    <row r="12" customFormat="false" ht="15" hidden="false" customHeight="false" outlineLevel="0" collapsed="false">
      <c r="A12" s="24" t="s">
        <v>563</v>
      </c>
      <c r="B12" s="25" t="s">
        <v>13</v>
      </c>
      <c r="C12" s="18" t="n">
        <v>26000</v>
      </c>
      <c r="D12" s="30" t="s">
        <v>664</v>
      </c>
    </row>
    <row r="13" customFormat="false" ht="15" hidden="false" customHeight="false" outlineLevel="0" collapsed="false">
      <c r="A13" s="24" t="s">
        <v>569</v>
      </c>
      <c r="B13" s="25" t="s">
        <v>13</v>
      </c>
      <c r="C13" s="18" t="n">
        <v>24000</v>
      </c>
      <c r="D13" s="30" t="s">
        <v>665</v>
      </c>
    </row>
    <row r="14" customFormat="false" ht="23.85" hidden="false" customHeight="false" outlineLevel="0" collapsed="false">
      <c r="A14" s="24" t="s">
        <v>588</v>
      </c>
      <c r="B14" s="25" t="s">
        <v>13</v>
      </c>
      <c r="C14" s="18" t="n">
        <v>22000</v>
      </c>
      <c r="D14" s="30"/>
    </row>
    <row r="15" customFormat="false" ht="15" hidden="false" customHeight="false" outlineLevel="0" collapsed="false">
      <c r="A15" s="24" t="s">
        <v>604</v>
      </c>
      <c r="B15" s="25" t="s">
        <v>13</v>
      </c>
      <c r="C15" s="18" t="n">
        <v>20000</v>
      </c>
      <c r="D15" s="30" t="s">
        <v>666</v>
      </c>
    </row>
    <row r="16" customFormat="false" ht="15" hidden="false" customHeight="false" outlineLevel="0" collapsed="false">
      <c r="A16" s="24" t="s">
        <v>564</v>
      </c>
      <c r="B16" s="25" t="s">
        <v>200</v>
      </c>
      <c r="C16" s="18" t="n">
        <v>18000</v>
      </c>
      <c r="D16" s="30" t="s">
        <v>667</v>
      </c>
    </row>
    <row r="17" customFormat="false" ht="15" hidden="false" customHeight="false" outlineLevel="0" collapsed="false">
      <c r="A17" s="24" t="s">
        <v>531</v>
      </c>
      <c r="B17" s="25" t="s">
        <v>81</v>
      </c>
      <c r="C17" s="18" t="n">
        <v>17000</v>
      </c>
      <c r="D17" s="30"/>
    </row>
    <row r="18" customFormat="false" ht="15" hidden="false" customHeight="false" outlineLevel="0" collapsed="false">
      <c r="A18" s="24" t="s">
        <v>557</v>
      </c>
      <c r="B18" s="25" t="s">
        <v>29</v>
      </c>
      <c r="C18" s="18" t="n">
        <v>17000</v>
      </c>
      <c r="D18" s="30" t="s">
        <v>668</v>
      </c>
    </row>
    <row r="19" customFormat="false" ht="15" hidden="false" customHeight="false" outlineLevel="0" collapsed="false">
      <c r="A19" s="24" t="s">
        <v>616</v>
      </c>
      <c r="B19" s="25" t="s">
        <v>13</v>
      </c>
      <c r="C19" s="18" t="n">
        <v>16000</v>
      </c>
      <c r="D19" s="30" t="s">
        <v>669</v>
      </c>
    </row>
    <row r="20" customFormat="false" ht="15" hidden="false" customHeight="false" outlineLevel="0" collapsed="false">
      <c r="A20" s="24" t="s">
        <v>633</v>
      </c>
      <c r="B20" s="25" t="s">
        <v>18</v>
      </c>
      <c r="C20" s="18" t="n">
        <v>16000</v>
      </c>
      <c r="D20" s="30" t="s">
        <v>670</v>
      </c>
    </row>
    <row r="21" customFormat="false" ht="15" hidden="false" customHeight="false" outlineLevel="0" collapsed="false">
      <c r="A21" s="24" t="s">
        <v>562</v>
      </c>
      <c r="B21" s="25" t="s">
        <v>13</v>
      </c>
      <c r="C21" s="18" t="n">
        <v>15000</v>
      </c>
      <c r="D21" s="30" t="s">
        <v>671</v>
      </c>
    </row>
    <row r="22" customFormat="false" ht="15" hidden="false" customHeight="false" outlineLevel="0" collapsed="false">
      <c r="A22" s="24" t="s">
        <v>529</v>
      </c>
      <c r="B22" s="25" t="s">
        <v>13</v>
      </c>
      <c r="C22" s="18" t="n">
        <v>12000</v>
      </c>
      <c r="D22" s="30" t="s">
        <v>672</v>
      </c>
    </row>
    <row r="23" customFormat="false" ht="15" hidden="false" customHeight="false" outlineLevel="0" collapsed="false">
      <c r="A23" s="24" t="s">
        <v>573</v>
      </c>
      <c r="B23" s="25" t="s">
        <v>34</v>
      </c>
      <c r="C23" s="18" t="n">
        <v>12000</v>
      </c>
      <c r="D23" s="30"/>
    </row>
    <row r="24" customFormat="false" ht="15" hidden="false" customHeight="false" outlineLevel="0" collapsed="false">
      <c r="A24" s="24" t="s">
        <v>618</v>
      </c>
      <c r="B24" s="25" t="s">
        <v>81</v>
      </c>
      <c r="C24" s="18" t="n">
        <v>12000</v>
      </c>
      <c r="D24" s="30"/>
    </row>
    <row r="25" customFormat="false" ht="15" hidden="false" customHeight="false" outlineLevel="0" collapsed="false">
      <c r="A25" s="24" t="s">
        <v>636</v>
      </c>
      <c r="B25" s="25" t="s">
        <v>13</v>
      </c>
      <c r="C25" s="18" t="n">
        <v>11000</v>
      </c>
      <c r="D25" s="30" t="s">
        <v>673</v>
      </c>
    </row>
    <row r="26" customFormat="false" ht="15" hidden="false" customHeight="false" outlineLevel="0" collapsed="false">
      <c r="A26" s="24" t="s">
        <v>521</v>
      </c>
      <c r="B26" s="25" t="s">
        <v>101</v>
      </c>
      <c r="C26" s="18" t="n">
        <v>10000</v>
      </c>
      <c r="D26" s="30"/>
    </row>
    <row r="27" customFormat="false" ht="15" hidden="false" customHeight="false" outlineLevel="0" collapsed="false">
      <c r="A27" s="24" t="s">
        <v>600</v>
      </c>
      <c r="B27" s="25" t="s">
        <v>13</v>
      </c>
      <c r="C27" s="18" t="n">
        <v>10000</v>
      </c>
      <c r="D27" s="30"/>
    </row>
    <row r="28" customFormat="false" ht="15" hidden="false" customHeight="false" outlineLevel="0" collapsed="false">
      <c r="A28" s="24" t="s">
        <v>628</v>
      </c>
      <c r="B28" s="25" t="s">
        <v>13</v>
      </c>
      <c r="C28" s="18" t="n">
        <v>10000</v>
      </c>
      <c r="D28" s="30" t="s">
        <v>674</v>
      </c>
    </row>
    <row r="29" customFormat="false" ht="15" hidden="false" customHeight="false" outlineLevel="0" collapsed="false">
      <c r="A29" s="24" t="s">
        <v>554</v>
      </c>
      <c r="B29" s="25" t="s">
        <v>18</v>
      </c>
      <c r="C29" s="18" t="n">
        <v>9800</v>
      </c>
      <c r="D29" s="30"/>
    </row>
    <row r="30" customFormat="false" ht="15" hidden="false" customHeight="false" outlineLevel="0" collapsed="false">
      <c r="A30" s="24" t="s">
        <v>535</v>
      </c>
      <c r="B30" s="25" t="s">
        <v>8</v>
      </c>
      <c r="C30" s="18" t="n">
        <v>9700</v>
      </c>
      <c r="D30" s="30"/>
    </row>
    <row r="31" customFormat="false" ht="15" hidden="false" customHeight="false" outlineLevel="0" collapsed="false">
      <c r="A31" s="24" t="s">
        <v>608</v>
      </c>
      <c r="B31" s="25" t="s">
        <v>101</v>
      </c>
      <c r="C31" s="18" t="n">
        <v>9600</v>
      </c>
      <c r="D31" s="30" t="s">
        <v>675</v>
      </c>
    </row>
    <row r="32" customFormat="false" ht="15" hidden="false" customHeight="false" outlineLevel="0" collapsed="false">
      <c r="A32" s="24" t="s">
        <v>626</v>
      </c>
      <c r="B32" s="25" t="s">
        <v>101</v>
      </c>
      <c r="C32" s="18" t="n">
        <v>8200</v>
      </c>
      <c r="D32" s="30" t="s">
        <v>676</v>
      </c>
    </row>
    <row r="33" customFormat="false" ht="15" hidden="false" customHeight="false" outlineLevel="0" collapsed="false">
      <c r="A33" s="24" t="s">
        <v>631</v>
      </c>
      <c r="B33" s="25" t="s">
        <v>101</v>
      </c>
      <c r="C33" s="18" t="n">
        <v>8200</v>
      </c>
      <c r="D33" s="30" t="s">
        <v>677</v>
      </c>
    </row>
    <row r="34" customFormat="false" ht="15" hidden="false" customHeight="false" outlineLevel="0" collapsed="false">
      <c r="A34" s="24" t="s">
        <v>526</v>
      </c>
      <c r="B34" s="25" t="s">
        <v>34</v>
      </c>
      <c r="C34" s="18" t="n">
        <v>7000</v>
      </c>
      <c r="D34" s="30"/>
    </row>
    <row r="35" customFormat="false" ht="15" hidden="false" customHeight="false" outlineLevel="0" collapsed="false">
      <c r="A35" s="24" t="s">
        <v>640</v>
      </c>
      <c r="B35" s="25" t="s">
        <v>13</v>
      </c>
      <c r="C35" s="18" t="n">
        <v>6700</v>
      </c>
      <c r="D35" s="30" t="s">
        <v>678</v>
      </c>
    </row>
    <row r="36" customFormat="false" ht="15" hidden="false" customHeight="false" outlineLevel="0" collapsed="false">
      <c r="A36" s="24" t="s">
        <v>525</v>
      </c>
      <c r="B36" s="25" t="s">
        <v>101</v>
      </c>
      <c r="C36" s="18" t="n">
        <v>6400</v>
      </c>
      <c r="D36" s="30"/>
    </row>
    <row r="37" customFormat="false" ht="15" hidden="false" customHeight="false" outlineLevel="0" collapsed="false">
      <c r="A37" s="24" t="s">
        <v>612</v>
      </c>
      <c r="B37" s="25" t="s">
        <v>34</v>
      </c>
      <c r="C37" s="18" t="n">
        <v>5700</v>
      </c>
      <c r="D37" s="30" t="s">
        <v>679</v>
      </c>
    </row>
    <row r="38" customFormat="false" ht="15" hidden="false" customHeight="false" outlineLevel="0" collapsed="false">
      <c r="A38" s="24" t="s">
        <v>523</v>
      </c>
      <c r="B38" s="25" t="s">
        <v>101</v>
      </c>
      <c r="C38" s="18" t="n">
        <v>5000</v>
      </c>
      <c r="D38" s="30"/>
    </row>
    <row r="39" customFormat="false" ht="15" hidden="false" customHeight="false" outlineLevel="0" collapsed="false">
      <c r="A39" s="24" t="s">
        <v>559</v>
      </c>
      <c r="B39" s="25" t="s">
        <v>81</v>
      </c>
      <c r="C39" s="18" t="n">
        <v>4800</v>
      </c>
      <c r="D39" s="30"/>
    </row>
    <row r="40" customFormat="false" ht="15" hidden="false" customHeight="false" outlineLevel="0" collapsed="false">
      <c r="A40" s="24" t="s">
        <v>543</v>
      </c>
      <c r="B40" s="25" t="s">
        <v>18</v>
      </c>
      <c r="C40" s="18" t="n">
        <v>4700</v>
      </c>
      <c r="D40" s="30"/>
    </row>
    <row r="41" customFormat="false" ht="15" hidden="false" customHeight="false" outlineLevel="0" collapsed="false">
      <c r="A41" s="24" t="s">
        <v>540</v>
      </c>
      <c r="B41" s="25" t="s">
        <v>101</v>
      </c>
      <c r="C41" s="18" t="n">
        <v>4400</v>
      </c>
      <c r="D41" s="30"/>
    </row>
    <row r="42" customFormat="false" ht="15" hidden="false" customHeight="false" outlineLevel="0" collapsed="false">
      <c r="A42" s="24" t="s">
        <v>595</v>
      </c>
      <c r="B42" s="25" t="s">
        <v>81</v>
      </c>
      <c r="C42" s="18" t="n">
        <v>3300</v>
      </c>
      <c r="D42" s="30"/>
    </row>
    <row r="43" customFormat="false" ht="15" hidden="false" customHeight="false" outlineLevel="0" collapsed="false">
      <c r="A43" s="24" t="s">
        <v>572</v>
      </c>
      <c r="B43" s="25" t="s">
        <v>101</v>
      </c>
      <c r="C43" s="18" t="n">
        <v>3100</v>
      </c>
      <c r="D43" s="30"/>
    </row>
    <row r="44" customFormat="false" ht="15" hidden="false" customHeight="false" outlineLevel="0" collapsed="false">
      <c r="A44" s="24" t="s">
        <v>620</v>
      </c>
      <c r="B44" s="25" t="s">
        <v>18</v>
      </c>
      <c r="C44" s="18" t="n">
        <v>3100</v>
      </c>
      <c r="D44" s="30"/>
    </row>
    <row r="45" customFormat="false" ht="15" hidden="false" customHeight="false" outlineLevel="0" collapsed="false">
      <c r="A45" s="24" t="s">
        <v>587</v>
      </c>
      <c r="B45" s="25" t="s">
        <v>200</v>
      </c>
      <c r="C45" s="18" t="n">
        <v>2900</v>
      </c>
      <c r="D45" s="30"/>
    </row>
    <row r="46" customFormat="false" ht="15" hidden="false" customHeight="false" outlineLevel="0" collapsed="false">
      <c r="A46" s="24" t="s">
        <v>546</v>
      </c>
      <c r="B46" s="25" t="s">
        <v>200</v>
      </c>
      <c r="C46" s="18" t="n">
        <v>2400</v>
      </c>
      <c r="D46" s="30"/>
    </row>
    <row r="47" customFormat="false" ht="15" hidden="false" customHeight="false" outlineLevel="0" collapsed="false">
      <c r="A47" s="24" t="s">
        <v>566</v>
      </c>
      <c r="B47" s="25" t="s">
        <v>200</v>
      </c>
      <c r="C47" s="18" t="n">
        <v>2100</v>
      </c>
      <c r="D47" s="30"/>
    </row>
    <row r="48" customFormat="false" ht="15" hidden="false" customHeight="false" outlineLevel="0" collapsed="false">
      <c r="A48" s="24" t="s">
        <v>578</v>
      </c>
      <c r="B48" s="25" t="s">
        <v>200</v>
      </c>
      <c r="C48" s="18" t="n">
        <v>2000</v>
      </c>
      <c r="D48" s="30"/>
    </row>
    <row r="49" customFormat="false" ht="15" hidden="false" customHeight="false" outlineLevel="0" collapsed="false">
      <c r="A49" s="24" t="s">
        <v>638</v>
      </c>
      <c r="B49" s="25" t="s">
        <v>13</v>
      </c>
      <c r="C49" s="18" t="n">
        <v>2000</v>
      </c>
      <c r="D49" s="30" t="s">
        <v>680</v>
      </c>
    </row>
    <row r="50" customFormat="false" ht="15" hidden="false" customHeight="false" outlineLevel="0" collapsed="false">
      <c r="A50" s="24" t="s">
        <v>622</v>
      </c>
      <c r="B50" s="25" t="s">
        <v>200</v>
      </c>
      <c r="C50" s="18" t="n">
        <v>1800</v>
      </c>
      <c r="D50" s="30"/>
    </row>
    <row r="51" customFormat="false" ht="15" hidden="false" customHeight="false" outlineLevel="0" collapsed="false">
      <c r="A51" s="24" t="s">
        <v>575</v>
      </c>
      <c r="B51" s="25" t="s">
        <v>84</v>
      </c>
      <c r="C51" s="18" t="n">
        <v>1700</v>
      </c>
      <c r="D51" s="30"/>
    </row>
    <row r="52" customFormat="false" ht="15" hidden="false" customHeight="false" outlineLevel="0" collapsed="false">
      <c r="A52" s="24" t="s">
        <v>606</v>
      </c>
      <c r="B52" s="25" t="s">
        <v>200</v>
      </c>
      <c r="C52" s="18" t="n">
        <v>1600</v>
      </c>
      <c r="D52" s="30"/>
    </row>
    <row r="53" customFormat="false" ht="15" hidden="false" customHeight="false" outlineLevel="0" collapsed="false">
      <c r="A53" s="24" t="s">
        <v>610</v>
      </c>
      <c r="B53" s="25" t="s">
        <v>84</v>
      </c>
      <c r="C53" s="18" t="n">
        <v>1600</v>
      </c>
      <c r="D53" s="30"/>
    </row>
    <row r="54" customFormat="false" ht="15" hidden="false" customHeight="false" outlineLevel="0" collapsed="false">
      <c r="A54" s="24" t="s">
        <v>624</v>
      </c>
      <c r="B54" s="25" t="s">
        <v>200</v>
      </c>
      <c r="C54" s="18" t="n">
        <v>1600</v>
      </c>
      <c r="D54" s="30"/>
    </row>
    <row r="55" customFormat="false" ht="15" hidden="false" customHeight="false" outlineLevel="0" collapsed="false">
      <c r="A55" s="24" t="s">
        <v>590</v>
      </c>
      <c r="B55" s="25" t="s">
        <v>200</v>
      </c>
      <c r="C55" s="18" t="n">
        <v>1500</v>
      </c>
      <c r="D55" s="30"/>
    </row>
    <row r="56" customFormat="false" ht="15" hidden="false" customHeight="false" outlineLevel="0" collapsed="false">
      <c r="A56" s="24" t="s">
        <v>630</v>
      </c>
      <c r="B56" s="25" t="s">
        <v>200</v>
      </c>
      <c r="C56" s="18" t="n">
        <v>1500</v>
      </c>
      <c r="D56" s="30"/>
    </row>
    <row r="57" customFormat="false" ht="15" hidden="false" customHeight="false" outlineLevel="0" collapsed="false">
      <c r="A57" s="24" t="s">
        <v>584</v>
      </c>
      <c r="B57" s="25" t="s">
        <v>84</v>
      </c>
      <c r="C57" s="18" t="n">
        <v>1200</v>
      </c>
      <c r="D57" s="30"/>
    </row>
    <row r="58" customFormat="false" ht="15" hidden="false" customHeight="false" outlineLevel="0" collapsed="false">
      <c r="A58" s="24" t="s">
        <v>602</v>
      </c>
      <c r="B58" s="25" t="s">
        <v>200</v>
      </c>
      <c r="C58" s="18" t="n">
        <v>1200</v>
      </c>
      <c r="D58" s="30"/>
    </row>
    <row r="59" customFormat="false" ht="15" hidden="false" customHeight="false" outlineLevel="0" collapsed="false">
      <c r="A59" s="24" t="s">
        <v>634</v>
      </c>
      <c r="B59" s="25" t="s">
        <v>81</v>
      </c>
      <c r="C59" s="18" t="n">
        <v>783</v>
      </c>
      <c r="D59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2026-05-21T20:54:15Z</dcterms:created>
  <dc:creator>openpyxl</dc:creator>
  <dc:description/>
  <dc:language>en-US</dc:language>
  <cp:lastModifiedBy/>
  <dcterms:modified xsi:type="dcterms:W3CDTF">2026-05-21T21:01:29Z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